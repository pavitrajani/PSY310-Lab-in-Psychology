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Visual Search Experiment 3\data\"/>
    </mc:Choice>
  </mc:AlternateContent>
  <xr:revisionPtr revIDLastSave="0" documentId="13_ncr:9_{91708182-C13D-4758-8EA2-DD0E369C9134}" xr6:coauthVersionLast="47" xr6:coauthVersionMax="47" xr10:uidLastSave="{00000000-0000-0000-0000-000000000000}"/>
  <bookViews>
    <workbookView xWindow="-108" yWindow="-108" windowWidth="23256" windowHeight="12456" xr2:uid="{E3FE6721-9118-49F5-8E59-D9D4E7F324F3}"/>
  </bookViews>
  <sheets>
    <sheet name="participant004_Visual Search_20" sheetId="1" r:id="rId1"/>
    <sheet name="set 5" sheetId="2" r:id="rId2"/>
    <sheet name="set 10" sheetId="3" r:id="rId3"/>
  </sheets>
  <definedNames>
    <definedName name="_xlnm._FilterDatabase" localSheetId="0" hidden="1">'participant004_Visual Search_20'!$Z$1:$Z$211</definedName>
    <definedName name="_xlnm._FilterDatabase" localSheetId="2" hidden="1">'set 10'!$A$1:$B$95</definedName>
    <definedName name="_xlnm._FilterDatabase" localSheetId="1" hidden="1">'set 5'!$B$1:$B$107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E7" i="3"/>
  <c r="G210" i="1" s="1"/>
  <c r="J210" i="1" s="1"/>
  <c r="E8" i="2"/>
  <c r="G209" i="1" s="1"/>
  <c r="J209" i="1" s="1"/>
  <c r="I202" i="1"/>
  <c r="I201" i="1"/>
  <c r="I200" i="1"/>
  <c r="I199" i="1"/>
  <c r="I198" i="1"/>
  <c r="I197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M208" i="1" l="1"/>
  <c r="I205" i="1"/>
  <c r="G211" i="1" s="1"/>
</calcChain>
</file>

<file path=xl/sharedStrings.xml><?xml version="1.0" encoding="utf-8"?>
<sst xmlns="http://schemas.openxmlformats.org/spreadsheetml/2006/main" count="4075" uniqueCount="600">
  <si>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</si>
  <si>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</si>
  <si>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</si>
  <si>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</si>
  <si>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</si>
  <si>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</si>
  <si>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</si>
  <si>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</si>
  <si>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</si>
  <si>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</si>
  <si>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</si>
  <si>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</si>
  <si>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</si>
  <si>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</si>
  <si>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</si>
  <si>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</si>
  <si>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</si>
  <si>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welcome.started</t>
  </si>
  <si>
    <t>welcometext.started</t>
  </si>
  <si>
    <t>key_resp.started</t>
  </si>
  <si>
    <t>welcome.stopped</t>
  </si>
  <si>
    <t>key_resp.keys</t>
  </si>
  <si>
    <t>key_resp.rt</t>
  </si>
  <si>
    <t>key_resp.duration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</si>
  <si>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</si>
  <si>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</si>
  <si>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</si>
  <si>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</si>
  <si>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</si>
  <si>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</si>
  <si>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</si>
  <si>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</si>
  <si>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</si>
  <si>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</si>
  <si>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</si>
  <si>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</si>
  <si>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</si>
  <si>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Thankyou.started</t>
  </si>
  <si>
    <t>text.started</t>
  </si>
  <si>
    <t>text.stopped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</si>
  <si>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</si>
  <si>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</si>
  <si>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</si>
  <si>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</si>
  <si>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</si>
  <si>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</si>
  <si>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</si>
  <si>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</si>
  <si>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</si>
  <si>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</si>
  <si>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</si>
  <si>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participant004</t>
  </si>
  <si>
    <t>2026-10-23_17h30.26.678</t>
  </si>
  <si>
    <t>Visual Search</t>
  </si>
  <si>
    <t>2026.2.3</t>
  </si>
  <si>
    <t>2026-10-23 17h30.26.906438 +0530</t>
  </si>
  <si>
    <t>[0.05555555555555555]</t>
  </si>
  <si>
    <t>[0.17777777777777778]</t>
  </si>
  <si>
    <t>[1]</t>
  </si>
  <si>
    <t>[0]</t>
  </si>
  <si>
    <t>[2.849653499899432]</t>
  </si>
  <si>
    <t>['target']</t>
  </si>
  <si>
    <t>[0.35555555555555557]</t>
  </si>
  <si>
    <t>[-0.10833333333333334]</t>
  </si>
  <si>
    <t>[2.2156246000668034]</t>
  </si>
  <si>
    <t>[-0.23333333333333334]</t>
  </si>
  <si>
    <t>[0.3175925925925926]</t>
  </si>
  <si>
    <t>[2.559652099967934]</t>
  </si>
  <si>
    <t>[0.29444444444444445]</t>
  </si>
  <si>
    <t>[-0.03148148148148148]</t>
  </si>
  <si>
    <t>[2.0212072000140324]</t>
  </si>
  <si>
    <t>[-0.4777777777777778]</t>
  </si>
  <si>
    <t>[0.46296296296296297]</t>
  </si>
  <si>
    <t>[2.0022472999989986]</t>
  </si>
  <si>
    <t>[-0.3296296296296296]</t>
  </si>
  <si>
    <t>[-0.4388888888888889]</t>
  </si>
  <si>
    <t>[2.2126678000204265]</t>
  </si>
  <si>
    <t>[0.3398148148148148]</t>
  </si>
  <si>
    <t>[0.2722222222222222]</t>
  </si>
  <si>
    <t>[1.86179340002127]</t>
  </si>
  <si>
    <t>[0.4935185185185185]</t>
  </si>
  <si>
    <t>[0.26481481481481484]</t>
  </si>
  <si>
    <t>[1.8137275000335649]</t>
  </si>
  <si>
    <t>[-0.4981481481481482]</t>
  </si>
  <si>
    <t>[-0.15833333333333333]</t>
  </si>
  <si>
    <t>[2.3217443000758067]</t>
  </si>
  <si>
    <t>[0.25833333333333336]</t>
  </si>
  <si>
    <t>[-0.1787037037037037]</t>
  </si>
  <si>
    <t>[1.9012299999594688]</t>
  </si>
  <si>
    <t>[-0.4888888888888889]</t>
  </si>
  <si>
    <t>[-0.41388888888888886]</t>
  </si>
  <si>
    <t>[1.9999509999761358]</t>
  </si>
  <si>
    <t>[-0.062037037037037036]</t>
  </si>
  <si>
    <t>[-0.41574074074074074]</t>
  </si>
  <si>
    <t>[1.9313347999705002]</t>
  </si>
  <si>
    <t>[0.23981481481481481]</t>
  </si>
  <si>
    <t>[0.008333333333333333]</t>
  </si>
  <si>
    <t>[1.9496100000105798]</t>
  </si>
  <si>
    <t>[-0.15648148148148147]</t>
  </si>
  <si>
    <t>[-0.3888888888888889]</t>
  </si>
  <si>
    <t>[2.3519789000274613]</t>
  </si>
  <si>
    <t>[0.43425925925925923]</t>
  </si>
  <si>
    <t>[1.8641940000234172]</t>
  </si>
  <si>
    <t>[0.3055555555555556]</t>
  </si>
  <si>
    <t>[0.22407407407407406]</t>
  </si>
  <si>
    <t>[2.800895200110972]</t>
  </si>
  <si>
    <t>[-0.275]</t>
  </si>
  <si>
    <t>[-0.33240740740740743]</t>
  </si>
  <si>
    <t>[1.6432583999121562]</t>
  </si>
  <si>
    <t>[-0.2361111111111111]</t>
  </si>
  <si>
    <t>[0.15092592592592594]</t>
  </si>
  <si>
    <t>[2.4137477000476792]</t>
  </si>
  <si>
    <t>[0.15833333333333333]</t>
  </si>
  <si>
    <t>[0.175]</t>
  </si>
  <si>
    <t>[1.886935899965465]</t>
  </si>
  <si>
    <t>[0.13425925925925927]</t>
  </si>
  <si>
    <t>[0.3472222222222222]</t>
  </si>
  <si>
    <t>[1.9055265000788495]</t>
  </si>
  <si>
    <t>[0.35185185185185186]</t>
  </si>
  <si>
    <t>[-0.44166666666666665]</t>
  </si>
  <si>
    <t>[2.5502737999195233]</t>
  </si>
  <si>
    <t>[-0.25]</t>
  </si>
  <si>
    <t>[0.21574074074074073]</t>
  </si>
  <si>
    <t>[2.2796959000406787]</t>
  </si>
  <si>
    <t>[0.03518518518518519]</t>
  </si>
  <si>
    <t>[1.7988240999402478]</t>
  </si>
  <si>
    <t>[0.19814814814814816]</t>
  </si>
  <si>
    <t>[2.029950700001791]</t>
  </si>
  <si>
    <t>[-0.19814814814814816]</t>
  </si>
  <si>
    <t>[0.4648148148148148]</t>
  </si>
  <si>
    <t>[1.9108296999474987]</t>
  </si>
  <si>
    <t>[0.4564814814814815]</t>
  </si>
  <si>
    <t>[-0.25277777777777777]</t>
  </si>
  <si>
    <t>[2.1598279000027105]</t>
  </si>
  <si>
    <t>[-0.3675925925925926]</t>
  </si>
  <si>
    <t>[-0.11203703703703703]</t>
  </si>
  <si>
    <t>[1.9816341999685392]</t>
  </si>
  <si>
    <t>[-0.32037037037037036]</t>
  </si>
  <si>
    <t>[-0.22777777777777777]</t>
  </si>
  <si>
    <t>[2.136717200046405]</t>
  </si>
  <si>
    <t>[-0.325]</t>
  </si>
  <si>
    <t>[2.6812038000207394]</t>
  </si>
  <si>
    <t>[0.3527777777777778]</t>
  </si>
  <si>
    <t>[-0.32407407407407407]</t>
  </si>
  <si>
    <t>[2.92281300004106]</t>
  </si>
  <si>
    <t>[-0.5018518518518519]</t>
  </si>
  <si>
    <t>[-0.09351851851851851]</t>
  </si>
  <si>
    <t>[2.166872499976307]</t>
  </si>
  <si>
    <t>[-0.32685185185185184]</t>
  </si>
  <si>
    <t>[0.29259259259259257]</t>
  </si>
  <si>
    <t>[1.9525442000012845]</t>
  </si>
  <si>
    <t>[0.4601851851851852]</t>
  </si>
  <si>
    <t>[1.880158199928701]</t>
  </si>
  <si>
    <t>[0.3851851851851852]</t>
  </si>
  <si>
    <t>[0.0712962962962963]</t>
  </si>
  <si>
    <t>[1.6820423000026494]</t>
  </si>
  <si>
    <t>[-0.007407407407407408]</t>
  </si>
  <si>
    <t>[0.05185185185185185]</t>
  </si>
  <si>
    <t>[2.4664884000085294]</t>
  </si>
  <si>
    <t>[0.1638888888888889]</t>
  </si>
  <si>
    <t>[0.3194444444444444]</t>
  </si>
  <si>
    <t>[1.6833126000128686]</t>
  </si>
  <si>
    <t>[0.125]</t>
  </si>
  <si>
    <t>[-0.17592592592592593]</t>
  </si>
  <si>
    <t>[1.7292625999543816]</t>
  </si>
  <si>
    <t>[0.2638888888888889]</t>
  </si>
  <si>
    <t>[-0.4083333333333333]</t>
  </si>
  <si>
    <t>[1.8334767000051215]</t>
  </si>
  <si>
    <t>[0.24259259259259258]</t>
  </si>
  <si>
    <t>[0.387037037037037]</t>
  </si>
  <si>
    <t>[2.0176468999125063]</t>
  </si>
  <si>
    <t>[-0.016666666666666666]</t>
  </si>
  <si>
    <t>[-0.020370370370370372]</t>
  </si>
  <si>
    <t>[2.212194100022316]</t>
  </si>
  <si>
    <t>[0.17407407407407408]</t>
  </si>
  <si>
    <t>[-0.2601851851851852]</t>
  </si>
  <si>
    <t>[1.8452256000600755]</t>
  </si>
  <si>
    <t>[-0.3861111111111111]</t>
  </si>
  <si>
    <t>[0.2222222222222222]</t>
  </si>
  <si>
    <t>[2.0375956000061706]</t>
  </si>
  <si>
    <t>[-0.1648148148148148]</t>
  </si>
  <si>
    <t>[0.4787037037037037]</t>
  </si>
  <si>
    <t>[2.4723815999459475]</t>
  </si>
  <si>
    <t>[-0.48703703703703705]</t>
  </si>
  <si>
    <t>[-0.34814814814814815]</t>
  </si>
  <si>
    <t>[2.0458067000145093]</t>
  </si>
  <si>
    <t>[-0.4101851851851852]</t>
  </si>
  <si>
    <t>[0.362962962962963]</t>
  </si>
  <si>
    <t>[2.0258571000304073]</t>
  </si>
  <si>
    <t>[-0.15185185185185185]</t>
  </si>
  <si>
    <t>[-0.27314814814814814]</t>
  </si>
  <si>
    <t>[2.0205916999839246]</t>
  </si>
  <si>
    <t>[-0.3685185185185185]</t>
  </si>
  <si>
    <t>[0.36203703703703705]</t>
  </si>
  <si>
    <t>[2.0906085000606254]</t>
  </si>
  <si>
    <t>[0.1935185185185185]</t>
  </si>
  <si>
    <t>[2.1629919999977574]</t>
  </si>
  <si>
    <t>[0.30648148148148147]</t>
  </si>
  <si>
    <t>[0.18425925925925926]</t>
  </si>
  <si>
    <t>[1.9796028999844566]</t>
  </si>
  <si>
    <t>[0.2518518518518518]</t>
  </si>
  <si>
    <t>[0.25462962962962965]</t>
  </si>
  <si>
    <t>[1.8683707000454888]</t>
  </si>
  <si>
    <t>[-0.30833333333333335]</t>
  </si>
  <si>
    <t>[-0.29259259259259257]</t>
  </si>
  <si>
    <t>[1.9059310000156984]</t>
  </si>
  <si>
    <t>[0.4212962962962963]</t>
  </si>
  <si>
    <t>[0.2537037037037037]</t>
  </si>
  <si>
    <t>[2.1966131000081077]</t>
  </si>
  <si>
    <t>[-0.3574074074074074]</t>
  </si>
  <si>
    <t>[0.3907407407407407]</t>
  </si>
  <si>
    <t>[2.0907064999919385]</t>
  </si>
  <si>
    <t>[-0.43148148148148147]</t>
  </si>
  <si>
    <t>[0.19444444444444445]</t>
  </si>
  <si>
    <t>[1.8898556999629363]</t>
  </si>
  <si>
    <t>[0.20462962962962963]</t>
  </si>
  <si>
    <t>[0.07777777777777778]</t>
  </si>
  <si>
    <t>[2.3517123999772593]</t>
  </si>
  <si>
    <t>[-0.34074074074074073]</t>
  </si>
  <si>
    <t>[0.075]</t>
  </si>
  <si>
    <t>[3.4570214999839664]</t>
  </si>
  <si>
    <t>[0.053703703703703705]</t>
  </si>
  <si>
    <t>[0.06388888888888888]</t>
  </si>
  <si>
    <t>[2.500624499982223]</t>
  </si>
  <si>
    <t>[0.30277777777777776]</t>
  </si>
  <si>
    <t>[0.262037037037037]</t>
  </si>
  <si>
    <t>[2.5729580000042915]</t>
  </si>
  <si>
    <t>[-0.18055555555555555]</t>
  </si>
  <si>
    <t>[0.2111111111111111]</t>
  </si>
  <si>
    <t>[2.240452300058678]</t>
  </si>
  <si>
    <t>[0.4546296296296296]</t>
  </si>
  <si>
    <t>[-0.225]</t>
  </si>
  <si>
    <t>[2.089972999994643]</t>
  </si>
  <si>
    <t>[0.014814814814814815]</t>
  </si>
  <si>
    <t>[1.6776975999819115]</t>
  </si>
  <si>
    <t>[-0.20555555555555555]</t>
  </si>
  <si>
    <t>[1.7633144999854267]</t>
  </si>
  <si>
    <t>[0.34629629629629627]</t>
  </si>
  <si>
    <t>[0.09814814814814815]</t>
  </si>
  <si>
    <t>[1.5651159000117332]</t>
  </si>
  <si>
    <t>[0.0787037037037037]</t>
  </si>
  <si>
    <t>[-0.46944444444444444]</t>
  </si>
  <si>
    <t>[1.8341887999558821]</t>
  </si>
  <si>
    <t>[0.35462962962962963]</t>
  </si>
  <si>
    <t>[-0.1814814814814815]</t>
  </si>
  <si>
    <t>[1.657616600045003]</t>
  </si>
  <si>
    <t>[0.44907407407407407]</t>
  </si>
  <si>
    <t>[0.013888888888888888]</t>
  </si>
  <si>
    <t>[1.6711684999754652]</t>
  </si>
  <si>
    <t>[-0.2777777777777778]</t>
  </si>
  <si>
    <t>[0.22037037037037038]</t>
  </si>
  <si>
    <t>[2.1689755000406876]</t>
  </si>
  <si>
    <t>[-0.16018518518518518]</t>
  </si>
  <si>
    <t>[1.890662399935536]</t>
  </si>
  <si>
    <t>[-0.20925925925925926]</t>
  </si>
  <si>
    <t>[-0.07962962962962963]</t>
  </si>
  <si>
    <t>[1.6303224000148475]</t>
  </si>
  <si>
    <t>[0.37222222222222223]</t>
  </si>
  <si>
    <t>[2.1822095999959856]</t>
  </si>
  <si>
    <t>[-0.3111111111111111]</t>
  </si>
  <si>
    <t>[0.37037037037037035]</t>
  </si>
  <si>
    <t>[1.7896789000369608]</t>
  </si>
  <si>
    <t>[1.1580844999989495]</t>
  </si>
  <si>
    <t>[-0.18611111111111112]</t>
  </si>
  <si>
    <t>[2.4981089000357315]</t>
  </si>
  <si>
    <t>[-0.18703703703703703]</t>
  </si>
  <si>
    <t>[0.13796296296296295]</t>
  </si>
  <si>
    <t>[1.73913789994549]</t>
  </si>
  <si>
    <t>[-0.3925925925925926]</t>
  </si>
  <si>
    <t>[-0.03518518518518519]</t>
  </si>
  <si>
    <t>[1.938646599999629]</t>
  </si>
  <si>
    <t>[0.15]</t>
  </si>
  <si>
    <t>[-0.1935185185185185]</t>
  </si>
  <si>
    <t>[2.389590200036764]</t>
  </si>
  <si>
    <t>[-0.1712962962962963]</t>
  </si>
  <si>
    <t>[2.8826621000189334]</t>
  </si>
  <si>
    <t>[0.13518518518518519]</t>
  </si>
  <si>
    <t>[-0.17407407407407408]</t>
  </si>
  <si>
    <t>[2.7496772999875247]</t>
  </si>
  <si>
    <t>[0.1787037037037037]</t>
  </si>
  <si>
    <t>[0.1527777777777778]</t>
  </si>
  <si>
    <t>[2.2124390000244603]</t>
  </si>
  <si>
    <t>[0.38796296296296295]</t>
  </si>
  <si>
    <t>[-0.4]</t>
  </si>
  <si>
    <t>[2.112186499987729]</t>
  </si>
  <si>
    <t>[0.2064814814814815]</t>
  </si>
  <si>
    <t>[-0.05925925925925926]</t>
  </si>
  <si>
    <t>[1.7323160999221727]</t>
  </si>
  <si>
    <t>[0.4537037037037037]</t>
  </si>
  <si>
    <t>[0.3333333333333333]</t>
  </si>
  <si>
    <t>[2.121952799963765]</t>
  </si>
  <si>
    <t>[0.31666666666666665]</t>
  </si>
  <si>
    <t>[0.26666666666666666]</t>
  </si>
  <si>
    <t>[1.5913779999827966]</t>
  </si>
  <si>
    <t>[0.03333333333333333]</t>
  </si>
  <si>
    <t>[0.4]</t>
  </si>
  <si>
    <t>[1.9798370000207797]</t>
  </si>
  <si>
    <t>[0.2574074074074074]</t>
  </si>
  <si>
    <t>[0.3685185185185185]</t>
  </si>
  <si>
    <t>[1.5448793999385089]</t>
  </si>
  <si>
    <t>[0.4324074074074074]</t>
  </si>
  <si>
    <t>[1.4167093998985365]</t>
  </si>
  <si>
    <t>[0.41574074074074074]</t>
  </si>
  <si>
    <t>[-0.14907407407407408]</t>
  </si>
  <si>
    <t>[2.3862030999734998]</t>
  </si>
  <si>
    <t>[0.08148148148148149]</t>
  </si>
  <si>
    <t>[-0.06018518518518518]</t>
  </si>
  <si>
    <t>[1.472176200011745]</t>
  </si>
  <si>
    <t>[-0.46111111111111114]</t>
  </si>
  <si>
    <t>[-0.41944444444444445]</t>
  </si>
  <si>
    <t>[2.2633791000116616]</t>
  </si>
  <si>
    <t>[0.4527777777777778]</t>
  </si>
  <si>
    <t>[-0.38425925925925924]</t>
  </si>
  <si>
    <t>[2.757539999904111]</t>
  </si>
  <si>
    <t>[0.21944444444444444]</t>
  </si>
  <si>
    <t>[1.9913972999202088]</t>
  </si>
  <si>
    <t>[0.26296296296296295]</t>
  </si>
  <si>
    <t>[-0.03333333333333333]</t>
  </si>
  <si>
    <t>[1.6352813999401405]</t>
  </si>
  <si>
    <t>[-0.2175925925925926]</t>
  </si>
  <si>
    <t>[0.44722222222222224]</t>
  </si>
  <si>
    <t>[2.306999700027518]</t>
  </si>
  <si>
    <t>[0.01574074074074074]</t>
  </si>
  <si>
    <t>[1.8737357000354677]</t>
  </si>
  <si>
    <t>[-0.19722222222222222]</t>
  </si>
  <si>
    <t>[1.5729385000886396]</t>
  </si>
  <si>
    <t>[0.3]</t>
  </si>
  <si>
    <t>[0.41944444444444445]</t>
  </si>
  <si>
    <t>[2.0032854999881238]</t>
  </si>
  <si>
    <t>[-0.38055555555555554]</t>
  </si>
  <si>
    <t>[0.22592592592592592]</t>
  </si>
  <si>
    <t>[2.3513974000234157]</t>
  </si>
  <si>
    <t>[-0.12314814814814815]</t>
  </si>
  <si>
    <t>[0.3148148148148148]</t>
  </si>
  <si>
    <t>[1.4054826999781653]</t>
  </si>
  <si>
    <t>[-0.06944444444444445]</t>
  </si>
  <si>
    <t>[-0.22592592592592592]</t>
  </si>
  <si>
    <t>[1.860792399966158]</t>
  </si>
  <si>
    <t>[0.27870370370370373]</t>
  </si>
  <si>
    <t>[1.668213399942033]</t>
  </si>
  <si>
    <t>[-0.053703703703703705]</t>
  </si>
  <si>
    <t>[-0.037037037037037035]</t>
  </si>
  <si>
    <t>[1.6728411000221968]</t>
  </si>
  <si>
    <t>[0.45740740740740743]</t>
  </si>
  <si>
    <t>[1.743784400052391]</t>
  </si>
  <si>
    <t>[-0.05740740740740741]</t>
  </si>
  <si>
    <t>[0.43796296296296294]</t>
  </si>
  <si>
    <t>[1.8864372000098228]</t>
  </si>
  <si>
    <t>[0.012037037037037037]</t>
  </si>
  <si>
    <t>[1.5029806999955326]</t>
  </si>
  <si>
    <t>[0.22870370370370371]</t>
  </si>
  <si>
    <t>[1.7512243000091985]</t>
  </si>
  <si>
    <t>[-0.013888888888888888]</t>
  </si>
  <si>
    <t>[0.17314814814814813]</t>
  </si>
  <si>
    <t>[2.168386399978772]</t>
  </si>
  <si>
    <t>[0.25092592592592594]</t>
  </si>
  <si>
    <t>[0.31203703703703706]</t>
  </si>
  <si>
    <t>[2.0548738000215963]</t>
  </si>
  <si>
    <t>[0.4305555555555556]</t>
  </si>
  <si>
    <t>[0.03888888888888889]</t>
  </si>
  <si>
    <t>[2.1642929000081494]</t>
  </si>
  <si>
    <t>[0.37962962962962965]</t>
  </si>
  <si>
    <t>[-0.10555555555555556]</t>
  </si>
  <si>
    <t>[1.6506565000163391]</t>
  </si>
  <si>
    <t>[-0.42592592592592593]</t>
  </si>
  <si>
    <t>[2.0472280000103638]</t>
  </si>
  <si>
    <t>[-0.025925925925925925]</t>
  </si>
  <si>
    <t>[0.27685185185185185]</t>
  </si>
  <si>
    <t>[2.1499062998918816]</t>
  </si>
  <si>
    <t>[-0.0712962962962963]</t>
  </si>
  <si>
    <t>[1.7692133999662474]</t>
  </si>
  <si>
    <t>[0.18703703703703703]</t>
  </si>
  <si>
    <t>[-0.47685185185185186]</t>
  </si>
  <si>
    <t>[2.269817200023681]</t>
  </si>
  <si>
    <t>[-0.43333333333333335]</t>
  </si>
  <si>
    <t>[-0.31666666666666665]</t>
  </si>
  <si>
    <t>[1.806663200026378]</t>
  </si>
  <si>
    <t>[0.11944444444444445]</t>
  </si>
  <si>
    <t>[-0.3333333333333333]</t>
  </si>
  <si>
    <t>[2.131893299985677]</t>
  </si>
  <si>
    <t>[0.48333333333333334]</t>
  </si>
  <si>
    <t>[1.9371718000620604]</t>
  </si>
  <si>
    <t>[-0.3851851851851852]</t>
  </si>
  <si>
    <t>[2.1422155000036582]</t>
  </si>
  <si>
    <t>[0.3314814814814815]</t>
  </si>
  <si>
    <t>[1.1719341001007706]</t>
  </si>
  <si>
    <t>[0.15462962962962962]</t>
  </si>
  <si>
    <t>[-0.34629629629629627]</t>
  </si>
  <si>
    <t>[1.5765804999973625]</t>
  </si>
  <si>
    <t>[-0.36018518518518516]</t>
  </si>
  <si>
    <t>[0.4425925925925926]</t>
  </si>
  <si>
    <t>[1.7575202999869362]</t>
  </si>
  <si>
    <t>[-0.1925925925925926]</t>
  </si>
  <si>
    <t>[-0.008333333333333333]</t>
  </si>
  <si>
    <t>[1.4444827999686822]</t>
  </si>
  <si>
    <t>[-0.20277777777777778]</t>
  </si>
  <si>
    <t>[-0.27037037037037037]</t>
  </si>
  <si>
    <t>[1.4227659000316635]</t>
  </si>
  <si>
    <t>[0.16574074074074074]</t>
  </si>
  <si>
    <t>[-0.03981481481481482]</t>
  </si>
  <si>
    <t>[1.458265999914147]</t>
  </si>
  <si>
    <t>[0.1814814814814815]</t>
  </si>
  <si>
    <t>[0.3425925925925926]</t>
  </si>
  <si>
    <t>[1.4395087000448257]</t>
  </si>
  <si>
    <t>[None]</t>
  </si>
  <si>
    <t>[-0.4064814814814815]</t>
  </si>
  <si>
    <t>[-0.3175925925925926]</t>
  </si>
  <si>
    <t>[1.6043762000044808]</t>
  </si>
  <si>
    <t>[1.243719199905172]</t>
  </si>
  <si>
    <t>[0.30185185185185187]</t>
  </si>
  <si>
    <t>[2.0743425000691786]</t>
  </si>
  <si>
    <t>[0.18333333333333332]</t>
  </si>
  <si>
    <t>[1.6224163000006229]</t>
  </si>
  <si>
    <t>[0.25925925925925924]</t>
  </si>
  <si>
    <t>[-0.42962962962962964]</t>
  </si>
  <si>
    <t>[1.574446199927479]</t>
  </si>
  <si>
    <t>[0.43703703703703706]</t>
  </si>
  <si>
    <t>[0.006481481481481481]</t>
  </si>
  <si>
    <t>[1.7180535000516102]</t>
  </si>
  <si>
    <t>[-0.2574074074074074]</t>
  </si>
  <si>
    <t>[1.9531922000460327]</t>
  </si>
  <si>
    <t>[-0.3731481481481482]</t>
  </si>
  <si>
    <t>[2.0659562000073493]</t>
  </si>
  <si>
    <t>[0.3435185185185185]</t>
  </si>
  <si>
    <t>[0.10092592592592593]</t>
  </si>
  <si>
    <t>[2.049108500010334]</t>
  </si>
  <si>
    <t>[1.7951943000080064]</t>
  </si>
  <si>
    <t>[0.34814814814814815]</t>
  </si>
  <si>
    <t>[0.36018518518518516]</t>
  </si>
  <si>
    <t>[1.8671167999273166]</t>
  </si>
  <si>
    <t>[0.4638888888888889]</t>
  </si>
  <si>
    <t>[-0.1287037037037037]</t>
  </si>
  <si>
    <t>[1.872687799972482]</t>
  </si>
  <si>
    <t>[-0.010185185185185186]</t>
  </si>
  <si>
    <t>[0.4361111111111111]</t>
  </si>
  <si>
    <t>[1.9156592999352142]</t>
  </si>
  <si>
    <t>[0.42962962962962964]</t>
  </si>
  <si>
    <t>[-0.22685185185185186]</t>
  </si>
  <si>
    <t>[2.165552799939178]</t>
  </si>
  <si>
    <t>[-0.05185185185185185]</t>
  </si>
  <si>
    <t>[0.25277777777777777]</t>
  </si>
  <si>
    <t>[1.516592500032857]</t>
  </si>
  <si>
    <t>[0.10555555555555556]</t>
  </si>
  <si>
    <t>[0.412962962962963]</t>
  </si>
  <si>
    <t>[2.3696415999438614]</t>
  </si>
  <si>
    <t>[0.011111111111111112]</t>
  </si>
  <si>
    <t>[2.2347372999647632]</t>
  </si>
  <si>
    <t>[-0.19537037037037036]</t>
  </si>
  <si>
    <t>[0.4064814814814815]</t>
  </si>
  <si>
    <t>[1.6150774999987334]</t>
  </si>
  <si>
    <t>[0.45]</t>
  </si>
  <si>
    <t>[1.5134778000647202]</t>
  </si>
  <si>
    <t>[0.012962962962962963]</t>
  </si>
  <si>
    <t>[0.20833333333333334]</t>
  </si>
  <si>
    <t>[1.2271760000148788]</t>
  </si>
  <si>
    <t>[0.1925925925925926]</t>
  </si>
  <si>
    <t>[0.11666666666666667]</t>
  </si>
  <si>
    <t>[1.1662802000064403]</t>
  </si>
  <si>
    <t>[-0.4740740740740741]</t>
  </si>
  <si>
    <t>[-0.011111111111111112]</t>
  </si>
  <si>
    <t>[1.8567769000073895]</t>
  </si>
  <si>
    <t>[-0.08611111111111111]</t>
  </si>
  <si>
    <t>[1.2712018000893295]</t>
  </si>
  <si>
    <t>[-0.12777777777777777]</t>
  </si>
  <si>
    <t>[-0.4759259259259259]</t>
  </si>
  <si>
    <t>[2.267587999929674]</t>
  </si>
  <si>
    <t>[-0.11388888888888889]</t>
  </si>
  <si>
    <t>[1.3617885999847203]</t>
  </si>
  <si>
    <t>[-0.12222222222222222]</t>
  </si>
  <si>
    <t>[0.29907407407407405]</t>
  </si>
  <si>
    <t>[1.4785108999349177]</t>
  </si>
  <si>
    <t>[0.08888888888888889]</t>
  </si>
  <si>
    <t>[0.024074074074074074]</t>
  </si>
  <si>
    <t>[1.7564136000582948]</t>
  </si>
  <si>
    <t>[0.12685185185185185]</t>
  </si>
  <si>
    <t>[0.47685185185185186]</t>
  </si>
  <si>
    <t>[1.7026582000544295]</t>
  </si>
  <si>
    <t>[0.001851851851851852]</t>
  </si>
  <si>
    <t>[1.41643219999969]</t>
  </si>
  <si>
    <t>[0.17962962962962964]</t>
  </si>
  <si>
    <t>[-0.43796296296296294]</t>
  </si>
  <si>
    <t>[1.936537200002931]</t>
  </si>
  <si>
    <t>[-0.44722222222222224]</t>
  </si>
  <si>
    <t>[1.8079920000163838]</t>
  </si>
  <si>
    <t>[0.3611111111111111]</t>
  </si>
  <si>
    <t>[0.12777777777777777]</t>
  </si>
  <si>
    <t>[1.869035999989137]</t>
  </si>
  <si>
    <t>[-0.10740740740740741]</t>
  </si>
  <si>
    <t>[-0.2]</t>
  </si>
  <si>
    <t>[1.995446000015363]</t>
  </si>
  <si>
    <t>[0.11574074074074074]</t>
  </si>
  <si>
    <t>[1.5270227000582963]</t>
  </si>
  <si>
    <t>[-0.362962962962963]</t>
  </si>
  <si>
    <t>[0.32685185185185184]</t>
  </si>
  <si>
    <t>[1.429667399963364]</t>
  </si>
  <si>
    <t>[0.49907407407407406]</t>
  </si>
  <si>
    <t>[0.14074074074074075]</t>
  </si>
  <si>
    <t>[1.6045902000041679]</t>
  </si>
  <si>
    <t>[1.2785562999779359]</t>
  </si>
  <si>
    <t>[-0.26296296296296295]</t>
  </si>
  <si>
    <t>[-0.4527777777777778]</t>
  </si>
  <si>
    <t>[2.0682040998945013]</t>
  </si>
  <si>
    <t>[-0.026851851851851852]</t>
  </si>
  <si>
    <t>[1.7265730999642983]</t>
  </si>
  <si>
    <t>[0.09074074074074075]</t>
  </si>
  <si>
    <t>[0.4009259259259259]</t>
  </si>
  <si>
    <t>[1.2709152000024915]</t>
  </si>
  <si>
    <t>[0.19537037037037036]</t>
  </si>
  <si>
    <t>[-0.35555555555555557]</t>
  </si>
  <si>
    <t>[1.6908361000241712]</t>
  </si>
  <si>
    <t>[-0.3962962962962963]</t>
  </si>
  <si>
    <t>[0.13148148148148148]</t>
  </si>
  <si>
    <t>[1.8351295999018475]</t>
  </si>
  <si>
    <t>[0.36666666666666664]</t>
  </si>
  <si>
    <t>[-0.3388888888888889]</t>
  </si>
  <si>
    <t>[1.8219560000579804]</t>
  </si>
  <si>
    <t>[-0.2953703703703704]</t>
  </si>
  <si>
    <t>[0.1685185185185185]</t>
  </si>
  <si>
    <t>[1.8423303999006748]</t>
  </si>
  <si>
    <t>[0.009259259259259259]</t>
  </si>
  <si>
    <t>[-0.4046296296296296]</t>
  </si>
  <si>
    <t>[1.968333400087431]</t>
  </si>
  <si>
    <t>[-0.16296296296296298]</t>
  </si>
  <si>
    <t>[-0.1675925925925926]</t>
  </si>
  <si>
    <t>[1.3896806000266224]</t>
  </si>
  <si>
    <t>[-0.1962962962962963]</t>
  </si>
  <si>
    <t>[-0.29074074074074074]</t>
  </si>
  <si>
    <t>[1.381067999987863]</t>
  </si>
  <si>
    <t>[-0.4166666666666667]</t>
  </si>
  <si>
    <t>[0.16944444444444445]</t>
  </si>
  <si>
    <t>[1.8263223000103608]</t>
  </si>
  <si>
    <t>[0.4462962962962963]</t>
  </si>
  <si>
    <t>[2.5299650999950245]</t>
  </si>
  <si>
    <t>[0.14814814814814814]</t>
  </si>
  <si>
    <t>[1.6911727000260726]</t>
  </si>
  <si>
    <t>[1.780365200014785]</t>
  </si>
  <si>
    <t>[1.7267638000193983]</t>
  </si>
  <si>
    <t>[0.21296296296296297]</t>
  </si>
  <si>
    <t>[0.23148148148148148]</t>
  </si>
  <si>
    <t>[1.6047048000618815]</t>
  </si>
  <si>
    <t>[0.14351851851851852]</t>
  </si>
  <si>
    <t>[0.07037037037037037]</t>
  </si>
  <si>
    <t>[2.096310199936852]</t>
  </si>
  <si>
    <t>[0.4444444444444444]</t>
  </si>
  <si>
    <t>[1.5572509999619797]</t>
  </si>
  <si>
    <t>[2.46107189997565]</t>
  </si>
  <si>
    <t>[0.09444444444444444]</t>
  </si>
  <si>
    <t>[0.39166666666666666]</t>
  </si>
  <si>
    <t>[1.5572465000441298]</t>
  </si>
  <si>
    <t>[-0.05277777777777778]</t>
  </si>
  <si>
    <t>[1.535882500000298]</t>
  </si>
  <si>
    <t>[-0.4564814814814815]</t>
  </si>
  <si>
    <t>[-0.24722222222222223]</t>
  </si>
  <si>
    <t>[1.9768259999109432]</t>
  </si>
  <si>
    <t>[0.48703703703703705]</t>
  </si>
  <si>
    <t>[2.4339365999912843]</t>
  </si>
  <si>
    <t>[-0.4925925925925926]</t>
  </si>
  <si>
    <t>[0.09259259259259259]</t>
  </si>
  <si>
    <t>[1.927655900013633]</t>
  </si>
  <si>
    <t>[0.025]</t>
  </si>
  <si>
    <t>[2.050763600040227]</t>
  </si>
  <si>
    <t>[-0.412962962962963]</t>
  </si>
  <si>
    <t>[1.67042360000778]</t>
  </si>
  <si>
    <t>[1.2293933000182733]</t>
  </si>
  <si>
    <t>[0.07685185185185185]</t>
  </si>
  <si>
    <t>[1.5216320999898016]</t>
  </si>
  <si>
    <t>[0.07314814814814814]</t>
  </si>
  <si>
    <t>[0.38055555555555554]</t>
  </si>
  <si>
    <t>[1.9880076000699773]</t>
  </si>
  <si>
    <t>[-0.175]</t>
  </si>
  <si>
    <t>[0.06481481481481481]</t>
  </si>
  <si>
    <t>[1.7079895000206307]</t>
  </si>
  <si>
    <t>[0.23425925925925925]</t>
  </si>
  <si>
    <t>[-0.014814814814814815]</t>
  </si>
  <si>
    <t>[1.27055959997233]</t>
  </si>
  <si>
    <t>[-0.40925925925925927]</t>
  </si>
  <si>
    <t>[0.09166666666666666]</t>
  </si>
  <si>
    <t>[1.8729599999496713]</t>
  </si>
  <si>
    <t>[-0.0787037037037037]</t>
  </si>
  <si>
    <t>[1.2377876000246033]</t>
  </si>
  <si>
    <t>[-0.4203703703703704]</t>
  </si>
  <si>
    <t>[0.3509259259259259]</t>
  </si>
  <si>
    <t>[1.5035983000416309]</t>
  </si>
  <si>
    <t>[0.11018518518518519]</t>
  </si>
  <si>
    <t>[1.7149443000089377]</t>
  </si>
  <si>
    <t>[-0.18333333333333332]</t>
  </si>
  <si>
    <t>[1.6017738999798894]</t>
  </si>
  <si>
    <t>[0.08981481481481482]</t>
  </si>
  <si>
    <t>[0.44814814814814813]</t>
  </si>
  <si>
    <t>[1.848954000044614]</t>
  </si>
  <si>
    <t>[-0.1527777777777778]</t>
  </si>
  <si>
    <t>[1.3710090999957174]</t>
  </si>
  <si>
    <t>[-0.04537037037037037]</t>
  </si>
  <si>
    <t>[1.9660714999772608]</t>
  </si>
  <si>
    <t>Mean Rt=</t>
  </si>
  <si>
    <t>set size</t>
  </si>
  <si>
    <t>mean rt</t>
  </si>
  <si>
    <t>5&amp;10</t>
  </si>
  <si>
    <t>mean rt=</t>
  </si>
  <si>
    <t>slope=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</si>
</sst>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</a:t>
            </a:r>
            <a:r>
              <a:rPr lang="en-US" baseline="0"/>
              <a:t> SIze and Mean 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'participant004_Visual Search_20'!$J$208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'participant004_Visual Search_20'!$I$209:$I$210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'participant004_Visual Search_20'!$J$209:$J$210</c:f>
              <c:numCache>
                <c:formatCode>General</c:formatCode>
                <c:ptCount val="2"/>
                <c:pt idx="0">
                  <c:v>1.8971743067947988</c:v>
                </c:pt>
                <c:pt idx="1">
                  <c:v>1.9369526397804853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9-42A5-A53E-9812EDC0A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709231"/>
        <c:axId val="951364399"/>
      </c:barChart>
      <c:catAx>
        <c:axId val="7317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64399"/>
        <c:crosses val="autoZero"/>
        <c:auto val="1"/>
        <c:lblAlgn val="ctr"/>
        <c:lblOffset val="100"/>
        <c:noMultiLvlLbl val="0"/>
      </c:catAx>
      <c:valAx>
        <c:axId val="9513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0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212</xdr:row>
      <xdr:rowOff>49530</xdr:rowOff>
    </xdr:from>
    <xdr:to>
      <xdr:col>9</xdr:col>
      <xdr:colOff>731520</xdr:colOff>
      <xdr:row>227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EE430-FF08-3EF3-3DFE-AD9C1833F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6561-73AA-44B5-B989-0B075A91C6D3}">
  <dimension ref="A1:AX211"/>
  <sheetViews>
    <sheetView tabSelected="1" topLeftCell="A206" workbookViewId="0">
      <selection activeCell="M223" sqref="M223"/>
    </sheetView>
  </sheetViews>
  <sheetFormatPr defaultRowHeight="14.4" x14ac:dyDescent="0.3"/>
  <cols>
    <col min="10" max="10" width="20.1093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R2" t="b">
        <v>0</v>
      </c>
      <c r="S2">
        <v>2.8450000099837702E-3</v>
      </c>
      <c r="T2">
        <v>9.1242000926285895E-3</v>
      </c>
      <c r="U2">
        <v>9.1242000926285895E-3</v>
      </c>
      <c r="V2">
        <v>8.5230300000403005</v>
      </c>
      <c r="W2" t="s">
        <v>49</v>
      </c>
      <c r="X2">
        <v>8.4869661000557208</v>
      </c>
      <c r="Y2" t="s">
        <v>50</v>
      </c>
      <c r="AQ2" t="s">
        <v>51</v>
      </c>
      <c r="AR2">
        <v>1</v>
      </c>
      <c r="AS2" t="s">
        <v>52</v>
      </c>
      <c r="AT2" t="s">
        <v>53</v>
      </c>
      <c r="AV2" t="s">
        <v>54</v>
      </c>
      <c r="AW2">
        <v>59.798777114328601</v>
      </c>
      <c r="AX2" t="s">
        <v>55</v>
      </c>
    </row>
    <row r="3" spans="1:50" x14ac:dyDescent="0.3">
      <c r="A3">
        <v>0</v>
      </c>
      <c r="B3">
        <v>0</v>
      </c>
      <c r="C3">
        <v>0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>
        <f>VALUE(SUBSTITUTE(SUBSTITUTE(J3,"[",""),"]",""))</f>
        <v>2.8496534998994298</v>
      </c>
      <c r="J3" t="s">
        <v>60</v>
      </c>
      <c r="K3" t="s">
        <v>61</v>
      </c>
      <c r="L3">
        <v>0</v>
      </c>
      <c r="M3">
        <v>0</v>
      </c>
      <c r="N3">
        <v>0</v>
      </c>
      <c r="O3">
        <v>0</v>
      </c>
      <c r="P3">
        <v>8.6162375999847391</v>
      </c>
      <c r="Z3">
        <v>10</v>
      </c>
      <c r="AA3">
        <v>8.5816128000151295</v>
      </c>
      <c r="AB3">
        <v>8.6162375999847391</v>
      </c>
      <c r="AC3">
        <v>8.6162375999847391</v>
      </c>
      <c r="AD3">
        <v>5.8553699986077803E-2</v>
      </c>
      <c r="AE3">
        <v>11.431395300081901</v>
      </c>
      <c r="AF3" t="s">
        <v>56</v>
      </c>
      <c r="AG3" t="s">
        <v>57</v>
      </c>
      <c r="AH3" t="s">
        <v>58</v>
      </c>
      <c r="AI3" t="s">
        <v>59</v>
      </c>
      <c r="AJ3" t="s">
        <v>59</v>
      </c>
      <c r="AK3" t="s">
        <v>60</v>
      </c>
      <c r="AL3" t="s">
        <v>61</v>
      </c>
      <c r="AQ3" t="s">
        <v>51</v>
      </c>
      <c r="AR3">
        <v>1</v>
      </c>
      <c r="AS3" t="s">
        <v>52</v>
      </c>
      <c r="AT3" t="s">
        <v>53</v>
      </c>
      <c r="AV3" t="s">
        <v>54</v>
      </c>
      <c r="AW3">
        <v>59.798777114328601</v>
      </c>
      <c r="AX3" t="s">
        <v>55</v>
      </c>
    </row>
    <row r="4" spans="1:50" x14ac:dyDescent="0.3">
      <c r="A4">
        <v>1</v>
      </c>
      <c r="B4">
        <v>0</v>
      </c>
      <c r="C4">
        <v>1</v>
      </c>
      <c r="D4" t="s">
        <v>62</v>
      </c>
      <c r="E4" t="s">
        <v>63</v>
      </c>
      <c r="F4" t="s">
        <v>58</v>
      </c>
      <c r="G4" t="s">
        <v>59</v>
      </c>
      <c r="H4" t="s">
        <v>59</v>
      </c>
      <c r="I4">
        <f t="shared" ref="I4:I67" si="0">VALUE(SUBSTITUTE(SUBSTITUTE(J4,"[",""),"]",""))</f>
        <v>2.2156246000667998</v>
      </c>
      <c r="J4" t="s">
        <v>64</v>
      </c>
      <c r="K4" t="s">
        <v>61</v>
      </c>
      <c r="L4">
        <v>1</v>
      </c>
      <c r="M4">
        <v>0</v>
      </c>
      <c r="N4">
        <v>1</v>
      </c>
      <c r="O4">
        <v>0</v>
      </c>
      <c r="P4">
        <v>11.4797364000696</v>
      </c>
      <c r="Z4">
        <v>5</v>
      </c>
      <c r="AA4">
        <v>11.4631362000945</v>
      </c>
      <c r="AB4">
        <v>11.4797364000696</v>
      </c>
      <c r="AC4">
        <v>11.4797364000696</v>
      </c>
      <c r="AD4">
        <v>3.1476299976930001E-2</v>
      </c>
      <c r="AE4">
        <v>13.6788733000867</v>
      </c>
      <c r="AF4" t="s">
        <v>62</v>
      </c>
      <c r="AG4" t="s">
        <v>63</v>
      </c>
      <c r="AH4" t="s">
        <v>58</v>
      </c>
      <c r="AI4" t="s">
        <v>59</v>
      </c>
      <c r="AJ4" t="s">
        <v>59</v>
      </c>
      <c r="AK4" t="s">
        <v>64</v>
      </c>
      <c r="AL4" t="s">
        <v>61</v>
      </c>
      <c r="AQ4" t="s">
        <v>51</v>
      </c>
      <c r="AR4">
        <v>1</v>
      </c>
      <c r="AS4" t="s">
        <v>52</v>
      </c>
      <c r="AT4" t="s">
        <v>53</v>
      </c>
      <c r="AV4" t="s">
        <v>54</v>
      </c>
      <c r="AW4">
        <v>59.798777114328601</v>
      </c>
      <c r="AX4" t="s">
        <v>55</v>
      </c>
    </row>
    <row r="5" spans="1:50" x14ac:dyDescent="0.3">
      <c r="A5">
        <v>2</v>
      </c>
      <c r="B5">
        <v>0</v>
      </c>
      <c r="C5">
        <v>2</v>
      </c>
      <c r="D5" t="s">
        <v>65</v>
      </c>
      <c r="E5" t="s">
        <v>66</v>
      </c>
      <c r="F5" t="s">
        <v>58</v>
      </c>
      <c r="G5" t="s">
        <v>59</v>
      </c>
      <c r="H5" t="s">
        <v>59</v>
      </c>
      <c r="I5">
        <f t="shared" si="0"/>
        <v>2.5596520999679302</v>
      </c>
      <c r="J5" t="s">
        <v>67</v>
      </c>
      <c r="K5" t="s">
        <v>61</v>
      </c>
      <c r="L5">
        <v>2</v>
      </c>
      <c r="M5">
        <v>0</v>
      </c>
      <c r="N5">
        <v>2</v>
      </c>
      <c r="O5">
        <v>0</v>
      </c>
      <c r="P5">
        <v>13.7361562000587</v>
      </c>
      <c r="Z5">
        <v>10</v>
      </c>
      <c r="AA5">
        <v>13.717592400033</v>
      </c>
      <c r="AB5">
        <v>13.7361562000587</v>
      </c>
      <c r="AC5">
        <v>13.7361562000587</v>
      </c>
      <c r="AD5">
        <v>3.8479899987578302E-2</v>
      </c>
      <c r="AE5">
        <v>16.277389200055001</v>
      </c>
      <c r="AF5" t="s">
        <v>65</v>
      </c>
      <c r="AG5" t="s">
        <v>66</v>
      </c>
      <c r="AH5" t="s">
        <v>58</v>
      </c>
      <c r="AI5" t="s">
        <v>59</v>
      </c>
      <c r="AJ5" t="s">
        <v>59</v>
      </c>
      <c r="AK5" t="s">
        <v>67</v>
      </c>
      <c r="AL5" t="s">
        <v>61</v>
      </c>
      <c r="AQ5" t="s">
        <v>51</v>
      </c>
      <c r="AR5">
        <v>1</v>
      </c>
      <c r="AS5" t="s">
        <v>52</v>
      </c>
      <c r="AT5" t="s">
        <v>53</v>
      </c>
      <c r="AV5" t="s">
        <v>54</v>
      </c>
      <c r="AW5">
        <v>59.798777114328601</v>
      </c>
      <c r="AX5" t="s">
        <v>55</v>
      </c>
    </row>
    <row r="6" spans="1:50" x14ac:dyDescent="0.3">
      <c r="A6">
        <v>3</v>
      </c>
      <c r="B6">
        <v>0</v>
      </c>
      <c r="C6">
        <v>3</v>
      </c>
      <c r="D6" t="s">
        <v>68</v>
      </c>
      <c r="E6" t="s">
        <v>69</v>
      </c>
      <c r="F6" t="s">
        <v>58</v>
      </c>
      <c r="G6" t="s">
        <v>59</v>
      </c>
      <c r="H6" t="s">
        <v>59</v>
      </c>
      <c r="I6">
        <f t="shared" si="0"/>
        <v>2.0212072000140302</v>
      </c>
      <c r="J6" t="s">
        <v>70</v>
      </c>
      <c r="K6" t="s">
        <v>61</v>
      </c>
      <c r="L6">
        <v>3</v>
      </c>
      <c r="M6">
        <v>0</v>
      </c>
      <c r="N6">
        <v>3</v>
      </c>
      <c r="O6">
        <v>0</v>
      </c>
      <c r="P6">
        <v>16.3199877000879</v>
      </c>
      <c r="Z6">
        <v>5</v>
      </c>
      <c r="AA6">
        <v>16.305768500082099</v>
      </c>
      <c r="AB6">
        <v>16.3199877000879</v>
      </c>
      <c r="AC6">
        <v>16.3199877000879</v>
      </c>
      <c r="AD6">
        <v>2.7994400006718899E-2</v>
      </c>
      <c r="AE6">
        <v>18.3270412000129</v>
      </c>
      <c r="AF6" t="s">
        <v>68</v>
      </c>
      <c r="AG6" t="s">
        <v>69</v>
      </c>
      <c r="AH6" t="s">
        <v>58</v>
      </c>
      <c r="AI6" t="s">
        <v>59</v>
      </c>
      <c r="AJ6" t="s">
        <v>59</v>
      </c>
      <c r="AK6" t="s">
        <v>70</v>
      </c>
      <c r="AL6" t="s">
        <v>61</v>
      </c>
      <c r="AQ6" t="s">
        <v>51</v>
      </c>
      <c r="AR6">
        <v>1</v>
      </c>
      <c r="AS6" t="s">
        <v>52</v>
      </c>
      <c r="AT6" t="s">
        <v>53</v>
      </c>
      <c r="AV6" t="s">
        <v>54</v>
      </c>
      <c r="AW6">
        <v>59.798777114328601</v>
      </c>
      <c r="AX6" t="s">
        <v>55</v>
      </c>
    </row>
    <row r="7" spans="1:50" x14ac:dyDescent="0.3">
      <c r="A7">
        <v>4</v>
      </c>
      <c r="B7">
        <v>0</v>
      </c>
      <c r="C7">
        <v>4</v>
      </c>
      <c r="D7" t="s">
        <v>71</v>
      </c>
      <c r="E7" t="s">
        <v>72</v>
      </c>
      <c r="F7" t="s">
        <v>58</v>
      </c>
      <c r="G7" t="s">
        <v>59</v>
      </c>
      <c r="H7" t="s">
        <v>59</v>
      </c>
      <c r="I7">
        <f t="shared" si="0"/>
        <v>2.0022472999989902</v>
      </c>
      <c r="J7" t="s">
        <v>73</v>
      </c>
      <c r="K7" t="s">
        <v>61</v>
      </c>
      <c r="L7">
        <v>4</v>
      </c>
      <c r="M7">
        <v>0</v>
      </c>
      <c r="N7">
        <v>4</v>
      </c>
      <c r="O7">
        <v>0</v>
      </c>
      <c r="P7">
        <v>18.3507198999868</v>
      </c>
      <c r="Z7">
        <v>5</v>
      </c>
      <c r="AA7">
        <v>18.341177400085101</v>
      </c>
      <c r="AB7">
        <v>18.3507198999868</v>
      </c>
      <c r="AC7">
        <v>18.3507198999868</v>
      </c>
      <c r="AD7">
        <v>1.4039999921806099E-2</v>
      </c>
      <c r="AE7">
        <v>20.343537200009401</v>
      </c>
      <c r="AF7" t="s">
        <v>71</v>
      </c>
      <c r="AG7" t="s">
        <v>72</v>
      </c>
      <c r="AH7" t="s">
        <v>58</v>
      </c>
      <c r="AI7" t="s">
        <v>59</v>
      </c>
      <c r="AJ7" t="s">
        <v>59</v>
      </c>
      <c r="AK7" t="s">
        <v>73</v>
      </c>
      <c r="AL7" t="s">
        <v>61</v>
      </c>
      <c r="AQ7" t="s">
        <v>51</v>
      </c>
      <c r="AR7">
        <v>1</v>
      </c>
      <c r="AS7" t="s">
        <v>52</v>
      </c>
      <c r="AT7" t="s">
        <v>53</v>
      </c>
      <c r="AV7" t="s">
        <v>54</v>
      </c>
      <c r="AW7">
        <v>59.798777114328601</v>
      </c>
      <c r="AX7" t="s">
        <v>55</v>
      </c>
    </row>
    <row r="8" spans="1:50" x14ac:dyDescent="0.3">
      <c r="A8">
        <v>5</v>
      </c>
      <c r="B8">
        <v>0</v>
      </c>
      <c r="C8">
        <v>5</v>
      </c>
      <c r="D8" t="s">
        <v>74</v>
      </c>
      <c r="E8" t="s">
        <v>75</v>
      </c>
      <c r="F8" t="s">
        <v>58</v>
      </c>
      <c r="G8" t="s">
        <v>59</v>
      </c>
      <c r="H8" t="s">
        <v>59</v>
      </c>
      <c r="I8">
        <f t="shared" si="0"/>
        <v>2.2126678000204199</v>
      </c>
      <c r="J8" t="s">
        <v>76</v>
      </c>
      <c r="K8" t="s">
        <v>61</v>
      </c>
      <c r="L8">
        <v>5</v>
      </c>
      <c r="M8">
        <v>0</v>
      </c>
      <c r="N8">
        <v>5</v>
      </c>
      <c r="O8">
        <v>0</v>
      </c>
      <c r="P8">
        <v>20.373610800015701</v>
      </c>
      <c r="Z8">
        <v>5</v>
      </c>
      <c r="AA8">
        <v>20.363386100041598</v>
      </c>
      <c r="AB8">
        <v>20.373610800015701</v>
      </c>
      <c r="AC8">
        <v>20.373610800015701</v>
      </c>
      <c r="AD8">
        <v>1.9616499892435899E-2</v>
      </c>
      <c r="AE8">
        <v>22.576198299997401</v>
      </c>
      <c r="AF8" t="s">
        <v>74</v>
      </c>
      <c r="AG8" t="s">
        <v>75</v>
      </c>
      <c r="AH8" t="s">
        <v>58</v>
      </c>
      <c r="AI8" t="s">
        <v>59</v>
      </c>
      <c r="AJ8" t="s">
        <v>59</v>
      </c>
      <c r="AK8" t="s">
        <v>76</v>
      </c>
      <c r="AL8" t="s">
        <v>61</v>
      </c>
      <c r="AQ8" t="s">
        <v>51</v>
      </c>
      <c r="AR8">
        <v>1</v>
      </c>
      <c r="AS8" t="s">
        <v>52</v>
      </c>
      <c r="AT8" t="s">
        <v>53</v>
      </c>
      <c r="AV8" t="s">
        <v>54</v>
      </c>
      <c r="AW8">
        <v>59.798777114328601</v>
      </c>
      <c r="AX8" t="s">
        <v>55</v>
      </c>
    </row>
    <row r="9" spans="1:50" x14ac:dyDescent="0.3">
      <c r="A9">
        <v>6</v>
      </c>
      <c r="B9">
        <v>0</v>
      </c>
      <c r="C9">
        <v>6</v>
      </c>
      <c r="D9" t="s">
        <v>77</v>
      </c>
      <c r="E9" t="s">
        <v>78</v>
      </c>
      <c r="F9" t="s">
        <v>58</v>
      </c>
      <c r="G9" t="s">
        <v>59</v>
      </c>
      <c r="H9" t="s">
        <v>59</v>
      </c>
      <c r="I9">
        <f t="shared" si="0"/>
        <v>1.8617934000212699</v>
      </c>
      <c r="J9" t="s">
        <v>79</v>
      </c>
      <c r="K9" t="s">
        <v>61</v>
      </c>
      <c r="L9">
        <v>6</v>
      </c>
      <c r="M9">
        <v>0</v>
      </c>
      <c r="N9">
        <v>6</v>
      </c>
      <c r="O9">
        <v>0</v>
      </c>
      <c r="P9">
        <v>22.648632700089301</v>
      </c>
      <c r="Z9">
        <v>10</v>
      </c>
      <c r="AA9">
        <v>22.632755600032301</v>
      </c>
      <c r="AB9">
        <v>22.648632700089301</v>
      </c>
      <c r="AC9">
        <v>22.648632700089301</v>
      </c>
      <c r="AD9">
        <v>5.6242899969220099E-2</v>
      </c>
      <c r="AE9">
        <v>24.4947061000857</v>
      </c>
      <c r="AF9" t="s">
        <v>77</v>
      </c>
      <c r="AG9" t="s">
        <v>78</v>
      </c>
      <c r="AH9" t="s">
        <v>58</v>
      </c>
      <c r="AI9" t="s">
        <v>59</v>
      </c>
      <c r="AJ9" t="s">
        <v>59</v>
      </c>
      <c r="AK9" t="s">
        <v>79</v>
      </c>
      <c r="AL9" t="s">
        <v>61</v>
      </c>
      <c r="AQ9" t="s">
        <v>51</v>
      </c>
      <c r="AR9">
        <v>1</v>
      </c>
      <c r="AS9" t="s">
        <v>52</v>
      </c>
      <c r="AT9" t="s">
        <v>53</v>
      </c>
      <c r="AV9" t="s">
        <v>54</v>
      </c>
      <c r="AW9">
        <v>59.798777114328601</v>
      </c>
      <c r="AX9" t="s">
        <v>55</v>
      </c>
    </row>
    <row r="10" spans="1:50" x14ac:dyDescent="0.3">
      <c r="A10">
        <v>7</v>
      </c>
      <c r="B10">
        <v>0</v>
      </c>
      <c r="C10">
        <v>7</v>
      </c>
      <c r="D10" t="s">
        <v>80</v>
      </c>
      <c r="E10" t="s">
        <v>81</v>
      </c>
      <c r="F10" t="s">
        <v>58</v>
      </c>
      <c r="G10" t="s">
        <v>59</v>
      </c>
      <c r="H10" t="s">
        <v>59</v>
      </c>
      <c r="I10">
        <f t="shared" si="0"/>
        <v>1.81372750003356</v>
      </c>
      <c r="J10" t="s">
        <v>82</v>
      </c>
      <c r="K10" t="s">
        <v>61</v>
      </c>
      <c r="L10">
        <v>7</v>
      </c>
      <c r="M10">
        <v>0</v>
      </c>
      <c r="N10">
        <v>7</v>
      </c>
      <c r="O10">
        <v>0</v>
      </c>
      <c r="P10">
        <v>24.559783500037099</v>
      </c>
      <c r="Z10">
        <v>10</v>
      </c>
      <c r="AA10">
        <v>24.546146600041499</v>
      </c>
      <c r="AB10">
        <v>24.559783500037099</v>
      </c>
      <c r="AC10">
        <v>24.559783500037099</v>
      </c>
      <c r="AD10">
        <v>5.0986499991267899E-2</v>
      </c>
      <c r="AE10">
        <v>26.3599987000925</v>
      </c>
      <c r="AF10" t="s">
        <v>80</v>
      </c>
      <c r="AG10" t="s">
        <v>81</v>
      </c>
      <c r="AH10" t="s">
        <v>58</v>
      </c>
      <c r="AI10" t="s">
        <v>59</v>
      </c>
      <c r="AJ10" t="s">
        <v>59</v>
      </c>
      <c r="AK10" t="s">
        <v>82</v>
      </c>
      <c r="AL10" t="s">
        <v>61</v>
      </c>
      <c r="AQ10" t="s">
        <v>51</v>
      </c>
      <c r="AR10">
        <v>1</v>
      </c>
      <c r="AS10" t="s">
        <v>52</v>
      </c>
      <c r="AT10" t="s">
        <v>53</v>
      </c>
      <c r="AV10" t="s">
        <v>54</v>
      </c>
      <c r="AW10">
        <v>59.798777114328601</v>
      </c>
      <c r="AX10" t="s">
        <v>55</v>
      </c>
    </row>
    <row r="11" spans="1:50" x14ac:dyDescent="0.3">
      <c r="A11">
        <v>8</v>
      </c>
      <c r="B11">
        <v>0</v>
      </c>
      <c r="C11">
        <v>8</v>
      </c>
      <c r="D11" t="s">
        <v>83</v>
      </c>
      <c r="E11" t="s">
        <v>84</v>
      </c>
      <c r="F11" t="s">
        <v>58</v>
      </c>
      <c r="G11" t="s">
        <v>59</v>
      </c>
      <c r="H11" t="s">
        <v>59</v>
      </c>
      <c r="I11">
        <f t="shared" si="0"/>
        <v>2.3217443000758</v>
      </c>
      <c r="J11" t="s">
        <v>85</v>
      </c>
      <c r="K11" t="s">
        <v>61</v>
      </c>
      <c r="L11">
        <v>8</v>
      </c>
      <c r="M11">
        <v>0</v>
      </c>
      <c r="N11">
        <v>8</v>
      </c>
      <c r="O11">
        <v>0</v>
      </c>
      <c r="P11">
        <v>26.439460700028501</v>
      </c>
      <c r="Z11">
        <v>10</v>
      </c>
      <c r="AA11">
        <v>26.4221706000389</v>
      </c>
      <c r="AB11">
        <v>26.439460700028501</v>
      </c>
      <c r="AC11">
        <v>26.439460700028501</v>
      </c>
      <c r="AD11">
        <v>6.1868799966759903E-2</v>
      </c>
      <c r="AE11">
        <v>28.744053000002101</v>
      </c>
      <c r="AF11" t="s">
        <v>83</v>
      </c>
      <c r="AG11" t="s">
        <v>84</v>
      </c>
      <c r="AH11" t="s">
        <v>58</v>
      </c>
      <c r="AI11" t="s">
        <v>59</v>
      </c>
      <c r="AJ11" t="s">
        <v>59</v>
      </c>
      <c r="AK11" t="s">
        <v>85</v>
      </c>
      <c r="AL11" t="s">
        <v>61</v>
      </c>
      <c r="AQ11" t="s">
        <v>51</v>
      </c>
      <c r="AR11">
        <v>1</v>
      </c>
      <c r="AS11" t="s">
        <v>52</v>
      </c>
      <c r="AT11" t="s">
        <v>53</v>
      </c>
      <c r="AV11" t="s">
        <v>54</v>
      </c>
      <c r="AW11">
        <v>59.798777114328601</v>
      </c>
      <c r="AX11" t="s">
        <v>55</v>
      </c>
    </row>
    <row r="12" spans="1:50" x14ac:dyDescent="0.3">
      <c r="A12">
        <v>9</v>
      </c>
      <c r="B12">
        <v>0</v>
      </c>
      <c r="C12">
        <v>9</v>
      </c>
      <c r="D12" t="s">
        <v>86</v>
      </c>
      <c r="E12" t="s">
        <v>87</v>
      </c>
      <c r="F12" t="s">
        <v>58</v>
      </c>
      <c r="G12" t="s">
        <v>59</v>
      </c>
      <c r="H12" t="s">
        <v>59</v>
      </c>
      <c r="I12">
        <f t="shared" si="0"/>
        <v>1.90122999995946</v>
      </c>
      <c r="J12" t="s">
        <v>88</v>
      </c>
      <c r="K12" t="s">
        <v>61</v>
      </c>
      <c r="L12">
        <v>9</v>
      </c>
      <c r="M12">
        <v>0</v>
      </c>
      <c r="N12">
        <v>9</v>
      </c>
      <c r="O12">
        <v>0</v>
      </c>
      <c r="P12">
        <v>28.7901614999864</v>
      </c>
      <c r="Z12">
        <v>5</v>
      </c>
      <c r="AA12">
        <v>28.774844300001799</v>
      </c>
      <c r="AB12">
        <v>28.7901614999864</v>
      </c>
      <c r="AC12">
        <v>28.7901614999864</v>
      </c>
      <c r="AD12">
        <v>3.05487000150606E-2</v>
      </c>
      <c r="AE12">
        <v>30.6761997999856</v>
      </c>
      <c r="AF12" t="s">
        <v>86</v>
      </c>
      <c r="AG12" t="s">
        <v>87</v>
      </c>
      <c r="AH12" t="s">
        <v>58</v>
      </c>
      <c r="AI12" t="s">
        <v>59</v>
      </c>
      <c r="AJ12" t="s">
        <v>59</v>
      </c>
      <c r="AK12" t="s">
        <v>88</v>
      </c>
      <c r="AL12" t="s">
        <v>61</v>
      </c>
      <c r="AQ12" t="s">
        <v>51</v>
      </c>
      <c r="AR12">
        <v>1</v>
      </c>
      <c r="AS12" t="s">
        <v>52</v>
      </c>
      <c r="AT12" t="s">
        <v>53</v>
      </c>
      <c r="AV12" t="s">
        <v>54</v>
      </c>
      <c r="AW12">
        <v>59.798777114328601</v>
      </c>
      <c r="AX12" t="s">
        <v>55</v>
      </c>
    </row>
    <row r="13" spans="1:50" x14ac:dyDescent="0.3">
      <c r="A13">
        <v>10</v>
      </c>
      <c r="B13">
        <v>0</v>
      </c>
      <c r="C13">
        <v>10</v>
      </c>
      <c r="D13" t="s">
        <v>89</v>
      </c>
      <c r="E13" t="s">
        <v>90</v>
      </c>
      <c r="F13" t="s">
        <v>58</v>
      </c>
      <c r="G13" t="s">
        <v>59</v>
      </c>
      <c r="H13" t="s">
        <v>59</v>
      </c>
      <c r="I13">
        <f t="shared" si="0"/>
        <v>1.99995099997613</v>
      </c>
      <c r="J13" t="s">
        <v>91</v>
      </c>
      <c r="K13" t="s">
        <v>61</v>
      </c>
      <c r="L13">
        <v>10</v>
      </c>
      <c r="M13">
        <v>0</v>
      </c>
      <c r="N13">
        <v>10</v>
      </c>
      <c r="O13">
        <v>0</v>
      </c>
      <c r="P13">
        <v>30.724631900084201</v>
      </c>
      <c r="Z13">
        <v>5</v>
      </c>
      <c r="AA13">
        <v>30.709270399995098</v>
      </c>
      <c r="AB13">
        <v>30.724631900084201</v>
      </c>
      <c r="AC13">
        <v>30.724631900084201</v>
      </c>
      <c r="AD13">
        <v>3.2730999984778401E-2</v>
      </c>
      <c r="AE13">
        <v>32.709323500050203</v>
      </c>
      <c r="AF13" t="s">
        <v>89</v>
      </c>
      <c r="AG13" t="s">
        <v>90</v>
      </c>
      <c r="AH13" t="s">
        <v>58</v>
      </c>
      <c r="AI13" t="s">
        <v>59</v>
      </c>
      <c r="AJ13" t="s">
        <v>59</v>
      </c>
      <c r="AK13" t="s">
        <v>91</v>
      </c>
      <c r="AL13" t="s">
        <v>61</v>
      </c>
      <c r="AQ13" t="s">
        <v>51</v>
      </c>
      <c r="AR13">
        <v>1</v>
      </c>
      <c r="AS13" t="s">
        <v>52</v>
      </c>
      <c r="AT13" t="s">
        <v>53</v>
      </c>
      <c r="AV13" t="s">
        <v>54</v>
      </c>
      <c r="AW13">
        <v>59.798777114328601</v>
      </c>
      <c r="AX13" t="s">
        <v>55</v>
      </c>
    </row>
    <row r="14" spans="1:50" x14ac:dyDescent="0.3">
      <c r="A14">
        <v>11</v>
      </c>
      <c r="B14">
        <v>0</v>
      </c>
      <c r="C14">
        <v>11</v>
      </c>
      <c r="D14" t="s">
        <v>92</v>
      </c>
      <c r="E14" t="s">
        <v>93</v>
      </c>
      <c r="F14" t="s">
        <v>58</v>
      </c>
      <c r="G14" t="s">
        <v>59</v>
      </c>
      <c r="H14" t="s">
        <v>59</v>
      </c>
      <c r="I14">
        <f t="shared" si="0"/>
        <v>1.9313347999704999</v>
      </c>
      <c r="J14" t="s">
        <v>94</v>
      </c>
      <c r="K14" t="s">
        <v>61</v>
      </c>
      <c r="L14">
        <v>11</v>
      </c>
      <c r="M14">
        <v>0</v>
      </c>
      <c r="N14">
        <v>11</v>
      </c>
      <c r="O14">
        <v>0</v>
      </c>
      <c r="P14">
        <v>32.735934099997301</v>
      </c>
      <c r="Z14">
        <v>5</v>
      </c>
      <c r="AA14">
        <v>32.727287600049699</v>
      </c>
      <c r="AB14">
        <v>32.735934099997301</v>
      </c>
      <c r="AC14">
        <v>32.735934099997301</v>
      </c>
      <c r="AD14">
        <v>1.7759500071406299E-2</v>
      </c>
      <c r="AE14">
        <v>34.658736400073302</v>
      </c>
      <c r="AF14" t="s">
        <v>92</v>
      </c>
      <c r="AG14" t="s">
        <v>93</v>
      </c>
      <c r="AH14" t="s">
        <v>58</v>
      </c>
      <c r="AI14" t="s">
        <v>59</v>
      </c>
      <c r="AJ14" t="s">
        <v>59</v>
      </c>
      <c r="AK14" t="s">
        <v>94</v>
      </c>
      <c r="AL14" t="s">
        <v>61</v>
      </c>
      <c r="AQ14" t="s">
        <v>51</v>
      </c>
      <c r="AR14">
        <v>1</v>
      </c>
      <c r="AS14" t="s">
        <v>52</v>
      </c>
      <c r="AT14" t="s">
        <v>53</v>
      </c>
      <c r="AV14" t="s">
        <v>54</v>
      </c>
      <c r="AW14">
        <v>59.798777114328601</v>
      </c>
      <c r="AX14" t="s">
        <v>55</v>
      </c>
    </row>
    <row r="15" spans="1:50" x14ac:dyDescent="0.3">
      <c r="A15">
        <v>12</v>
      </c>
      <c r="B15">
        <v>0</v>
      </c>
      <c r="C15">
        <v>12</v>
      </c>
      <c r="D15" t="s">
        <v>95</v>
      </c>
      <c r="E15" t="s">
        <v>96</v>
      </c>
      <c r="F15" t="s">
        <v>58</v>
      </c>
      <c r="G15" t="s">
        <v>59</v>
      </c>
      <c r="H15" t="s">
        <v>59</v>
      </c>
      <c r="I15">
        <f t="shared" si="0"/>
        <v>1.9496100000105701</v>
      </c>
      <c r="J15" t="s">
        <v>97</v>
      </c>
      <c r="K15" t="s">
        <v>61</v>
      </c>
      <c r="L15">
        <v>12</v>
      </c>
      <c r="M15">
        <v>0</v>
      </c>
      <c r="N15">
        <v>12</v>
      </c>
      <c r="O15">
        <v>0</v>
      </c>
      <c r="P15">
        <v>34.704081300063898</v>
      </c>
      <c r="Z15">
        <v>10</v>
      </c>
      <c r="AA15">
        <v>34.692675600061101</v>
      </c>
      <c r="AB15">
        <v>34.704081300063898</v>
      </c>
      <c r="AC15">
        <v>34.704081300063898</v>
      </c>
      <c r="AD15">
        <v>3.37246999843046E-2</v>
      </c>
      <c r="AE15">
        <v>36.642417900031397</v>
      </c>
      <c r="AF15" t="s">
        <v>95</v>
      </c>
      <c r="AG15" t="s">
        <v>96</v>
      </c>
      <c r="AH15" t="s">
        <v>58</v>
      </c>
      <c r="AI15" t="s">
        <v>59</v>
      </c>
      <c r="AJ15" t="s">
        <v>59</v>
      </c>
      <c r="AK15" t="s">
        <v>97</v>
      </c>
      <c r="AL15" t="s">
        <v>61</v>
      </c>
      <c r="AQ15" t="s">
        <v>51</v>
      </c>
      <c r="AR15">
        <v>1</v>
      </c>
      <c r="AS15" t="s">
        <v>52</v>
      </c>
      <c r="AT15" t="s">
        <v>53</v>
      </c>
      <c r="AV15" t="s">
        <v>54</v>
      </c>
      <c r="AW15">
        <v>59.798777114328601</v>
      </c>
      <c r="AX15" t="s">
        <v>55</v>
      </c>
    </row>
    <row r="16" spans="1:50" x14ac:dyDescent="0.3">
      <c r="A16">
        <v>13</v>
      </c>
      <c r="B16">
        <v>0</v>
      </c>
      <c r="C16">
        <v>13</v>
      </c>
      <c r="D16" t="s">
        <v>98</v>
      </c>
      <c r="E16" t="s">
        <v>99</v>
      </c>
      <c r="F16" t="s">
        <v>58</v>
      </c>
      <c r="G16" t="s">
        <v>59</v>
      </c>
      <c r="H16" t="s">
        <v>59</v>
      </c>
      <c r="I16">
        <f t="shared" si="0"/>
        <v>2.35197890002746</v>
      </c>
      <c r="J16" t="s">
        <v>100</v>
      </c>
      <c r="K16" t="s">
        <v>61</v>
      </c>
      <c r="L16">
        <v>13</v>
      </c>
      <c r="M16">
        <v>0</v>
      </c>
      <c r="N16">
        <v>13</v>
      </c>
      <c r="O16">
        <v>0</v>
      </c>
      <c r="P16">
        <v>36.663826100062501</v>
      </c>
      <c r="Z16">
        <v>5</v>
      </c>
      <c r="AA16">
        <v>36.656791400047901</v>
      </c>
      <c r="AB16">
        <v>36.663826100062501</v>
      </c>
      <c r="AC16">
        <v>36.663826100062501</v>
      </c>
      <c r="AD16">
        <v>1.40500999987125E-2</v>
      </c>
      <c r="AE16">
        <v>39.008881199988501</v>
      </c>
      <c r="AF16" t="s">
        <v>98</v>
      </c>
      <c r="AG16" t="s">
        <v>99</v>
      </c>
      <c r="AH16" t="s">
        <v>58</v>
      </c>
      <c r="AI16" t="s">
        <v>59</v>
      </c>
      <c r="AJ16" t="s">
        <v>59</v>
      </c>
      <c r="AK16" t="s">
        <v>100</v>
      </c>
      <c r="AL16" t="s">
        <v>61</v>
      </c>
      <c r="AQ16" t="s">
        <v>51</v>
      </c>
      <c r="AR16">
        <v>1</v>
      </c>
      <c r="AS16" t="s">
        <v>52</v>
      </c>
      <c r="AT16" t="s">
        <v>53</v>
      </c>
      <c r="AV16" t="s">
        <v>54</v>
      </c>
      <c r="AW16">
        <v>59.798777114328601</v>
      </c>
      <c r="AX16" t="s">
        <v>55</v>
      </c>
    </row>
    <row r="17" spans="1:50" x14ac:dyDescent="0.3">
      <c r="A17">
        <v>14</v>
      </c>
      <c r="B17">
        <v>0</v>
      </c>
      <c r="C17">
        <v>14</v>
      </c>
      <c r="D17" t="s">
        <v>101</v>
      </c>
      <c r="E17" t="s">
        <v>98</v>
      </c>
      <c r="F17" t="s">
        <v>58</v>
      </c>
      <c r="G17" t="s">
        <v>59</v>
      </c>
      <c r="H17" t="s">
        <v>59</v>
      </c>
      <c r="I17">
        <f t="shared" si="0"/>
        <v>1.8641940000234101</v>
      </c>
      <c r="J17" t="s">
        <v>102</v>
      </c>
      <c r="K17" t="s">
        <v>61</v>
      </c>
      <c r="L17">
        <v>14</v>
      </c>
      <c r="M17">
        <v>0</v>
      </c>
      <c r="N17">
        <v>14</v>
      </c>
      <c r="O17">
        <v>0</v>
      </c>
      <c r="P17">
        <v>39.057699800003299</v>
      </c>
      <c r="Z17">
        <v>10</v>
      </c>
      <c r="AA17">
        <v>39.044856199994598</v>
      </c>
      <c r="AB17">
        <v>39.057699800003299</v>
      </c>
      <c r="AC17">
        <v>39.057699800003299</v>
      </c>
      <c r="AD17">
        <v>3.5780600039288402E-2</v>
      </c>
      <c r="AE17">
        <v>40.909111700020702</v>
      </c>
      <c r="AF17" t="s">
        <v>101</v>
      </c>
      <c r="AG17" t="s">
        <v>98</v>
      </c>
      <c r="AH17" t="s">
        <v>58</v>
      </c>
      <c r="AI17" t="s">
        <v>59</v>
      </c>
      <c r="AJ17" t="s">
        <v>59</v>
      </c>
      <c r="AK17" t="s">
        <v>102</v>
      </c>
      <c r="AL17" t="s">
        <v>61</v>
      </c>
      <c r="AQ17" t="s">
        <v>51</v>
      </c>
      <c r="AR17">
        <v>1</v>
      </c>
      <c r="AS17" t="s">
        <v>52</v>
      </c>
      <c r="AT17" t="s">
        <v>53</v>
      </c>
      <c r="AV17" t="s">
        <v>54</v>
      </c>
      <c r="AW17">
        <v>59.798777114328601</v>
      </c>
      <c r="AX17" t="s">
        <v>55</v>
      </c>
    </row>
    <row r="18" spans="1:50" x14ac:dyDescent="0.3">
      <c r="A18">
        <v>15</v>
      </c>
      <c r="B18">
        <v>0</v>
      </c>
      <c r="C18">
        <v>15</v>
      </c>
      <c r="D18" t="s">
        <v>103</v>
      </c>
      <c r="E18" t="s">
        <v>104</v>
      </c>
      <c r="F18" t="s">
        <v>58</v>
      </c>
      <c r="G18" t="s">
        <v>59</v>
      </c>
      <c r="H18" t="s">
        <v>59</v>
      </c>
      <c r="I18">
        <f t="shared" si="0"/>
        <v>2.8008952001109702</v>
      </c>
      <c r="J18" t="s">
        <v>105</v>
      </c>
      <c r="K18" t="s">
        <v>61</v>
      </c>
      <c r="L18">
        <v>15</v>
      </c>
      <c r="M18">
        <v>0</v>
      </c>
      <c r="N18">
        <v>15</v>
      </c>
      <c r="O18">
        <v>0</v>
      </c>
      <c r="P18">
        <v>40.955815799999897</v>
      </c>
      <c r="Z18">
        <v>10</v>
      </c>
      <c r="AA18">
        <v>40.941347100073401</v>
      </c>
      <c r="AB18">
        <v>40.955815799999897</v>
      </c>
      <c r="AC18">
        <v>40.955815799999897</v>
      </c>
      <c r="AD18">
        <v>3.2106600003316998E-2</v>
      </c>
      <c r="AE18">
        <v>43.7423537999857</v>
      </c>
      <c r="AF18" t="s">
        <v>103</v>
      </c>
      <c r="AG18" t="s">
        <v>104</v>
      </c>
      <c r="AH18" t="s">
        <v>58</v>
      </c>
      <c r="AI18" t="s">
        <v>59</v>
      </c>
      <c r="AJ18" t="s">
        <v>59</v>
      </c>
      <c r="AK18" t="s">
        <v>105</v>
      </c>
      <c r="AL18" t="s">
        <v>61</v>
      </c>
      <c r="AQ18" t="s">
        <v>51</v>
      </c>
      <c r="AR18">
        <v>1</v>
      </c>
      <c r="AS18" t="s">
        <v>52</v>
      </c>
      <c r="AT18" t="s">
        <v>53</v>
      </c>
      <c r="AV18" t="s">
        <v>54</v>
      </c>
      <c r="AW18">
        <v>59.798777114328601</v>
      </c>
      <c r="AX18" t="s">
        <v>55</v>
      </c>
    </row>
    <row r="19" spans="1:50" x14ac:dyDescent="0.3">
      <c r="A19">
        <v>16</v>
      </c>
      <c r="B19">
        <v>0</v>
      </c>
      <c r="C19">
        <v>16</v>
      </c>
      <c r="D19" t="s">
        <v>106</v>
      </c>
      <c r="E19" t="s">
        <v>107</v>
      </c>
      <c r="F19" t="s">
        <v>58</v>
      </c>
      <c r="G19" t="s">
        <v>59</v>
      </c>
      <c r="H19" t="s">
        <v>59</v>
      </c>
      <c r="I19">
        <f t="shared" si="0"/>
        <v>1.6432583999121499</v>
      </c>
      <c r="J19" t="s">
        <v>108</v>
      </c>
      <c r="K19" t="s">
        <v>61</v>
      </c>
      <c r="L19">
        <v>16</v>
      </c>
      <c r="M19">
        <v>0</v>
      </c>
      <c r="N19">
        <v>16</v>
      </c>
      <c r="O19">
        <v>0</v>
      </c>
      <c r="P19">
        <v>43.7935799000551</v>
      </c>
      <c r="Z19">
        <v>10</v>
      </c>
      <c r="AA19">
        <v>43.781466700020196</v>
      </c>
      <c r="AB19">
        <v>43.7935799000551</v>
      </c>
      <c r="AC19">
        <v>43.7935799000551</v>
      </c>
      <c r="AD19">
        <v>3.8911500014364699E-2</v>
      </c>
      <c r="AE19">
        <v>45.424804900074299</v>
      </c>
      <c r="AF19" t="s">
        <v>106</v>
      </c>
      <c r="AG19" t="s">
        <v>107</v>
      </c>
      <c r="AH19" t="s">
        <v>58</v>
      </c>
      <c r="AI19" t="s">
        <v>59</v>
      </c>
      <c r="AJ19" t="s">
        <v>59</v>
      </c>
      <c r="AK19" t="s">
        <v>108</v>
      </c>
      <c r="AL19" t="s">
        <v>61</v>
      </c>
      <c r="AQ19" t="s">
        <v>51</v>
      </c>
      <c r="AR19">
        <v>1</v>
      </c>
      <c r="AS19" t="s">
        <v>52</v>
      </c>
      <c r="AT19" t="s">
        <v>53</v>
      </c>
      <c r="AV19" t="s">
        <v>54</v>
      </c>
      <c r="AW19">
        <v>59.798777114328601</v>
      </c>
      <c r="AX19" t="s">
        <v>55</v>
      </c>
    </row>
    <row r="20" spans="1:50" x14ac:dyDescent="0.3">
      <c r="A20">
        <v>17</v>
      </c>
      <c r="B20">
        <v>0</v>
      </c>
      <c r="C20">
        <v>17</v>
      </c>
      <c r="D20" t="s">
        <v>109</v>
      </c>
      <c r="E20" t="s">
        <v>110</v>
      </c>
      <c r="F20" t="s">
        <v>58</v>
      </c>
      <c r="G20" t="s">
        <v>59</v>
      </c>
      <c r="H20" t="s">
        <v>59</v>
      </c>
      <c r="I20">
        <f t="shared" si="0"/>
        <v>2.4137477000476699</v>
      </c>
      <c r="J20" t="s">
        <v>111</v>
      </c>
      <c r="K20" t="s">
        <v>61</v>
      </c>
      <c r="L20">
        <v>17</v>
      </c>
      <c r="M20">
        <v>0</v>
      </c>
      <c r="N20">
        <v>17</v>
      </c>
      <c r="O20">
        <v>0</v>
      </c>
      <c r="P20">
        <v>45.455029800068502</v>
      </c>
      <c r="Z20">
        <v>5</v>
      </c>
      <c r="AA20">
        <v>45.445712900022002</v>
      </c>
      <c r="AB20">
        <v>45.455029800068502</v>
      </c>
      <c r="AC20">
        <v>45.455029800068502</v>
      </c>
      <c r="AD20">
        <v>2.0715699996799199E-2</v>
      </c>
      <c r="AE20">
        <v>47.859550700057298</v>
      </c>
      <c r="AF20" t="s">
        <v>109</v>
      </c>
      <c r="AG20" t="s">
        <v>110</v>
      </c>
      <c r="AH20" t="s">
        <v>58</v>
      </c>
      <c r="AI20" t="s">
        <v>59</v>
      </c>
      <c r="AJ20" t="s">
        <v>59</v>
      </c>
      <c r="AK20" t="s">
        <v>111</v>
      </c>
      <c r="AL20" t="s">
        <v>61</v>
      </c>
      <c r="AQ20" t="s">
        <v>51</v>
      </c>
      <c r="AR20">
        <v>1</v>
      </c>
      <c r="AS20" t="s">
        <v>52</v>
      </c>
      <c r="AT20" t="s">
        <v>53</v>
      </c>
      <c r="AV20" t="s">
        <v>54</v>
      </c>
      <c r="AW20">
        <v>59.798777114328601</v>
      </c>
      <c r="AX20" t="s">
        <v>55</v>
      </c>
    </row>
    <row r="21" spans="1:50" x14ac:dyDescent="0.3">
      <c r="A21">
        <v>18</v>
      </c>
      <c r="B21">
        <v>0</v>
      </c>
      <c r="C21">
        <v>18</v>
      </c>
      <c r="D21" t="s">
        <v>112</v>
      </c>
      <c r="E21" t="s">
        <v>113</v>
      </c>
      <c r="F21" t="s">
        <v>58</v>
      </c>
      <c r="G21" t="s">
        <v>59</v>
      </c>
      <c r="H21" t="s">
        <v>59</v>
      </c>
      <c r="I21">
        <f t="shared" si="0"/>
        <v>1.88693589996546</v>
      </c>
      <c r="J21" t="s">
        <v>114</v>
      </c>
      <c r="K21" t="s">
        <v>61</v>
      </c>
      <c r="L21">
        <v>18</v>
      </c>
      <c r="M21">
        <v>0</v>
      </c>
      <c r="N21">
        <v>18</v>
      </c>
      <c r="O21">
        <v>0</v>
      </c>
      <c r="P21">
        <v>47.896309600095201</v>
      </c>
      <c r="Z21">
        <v>5</v>
      </c>
      <c r="AA21">
        <v>47.887613099999697</v>
      </c>
      <c r="AB21">
        <v>47.896309600095201</v>
      </c>
      <c r="AC21">
        <v>47.896309600095201</v>
      </c>
      <c r="AD21">
        <v>2.79029000084847E-2</v>
      </c>
      <c r="AE21">
        <v>49.774677900015298</v>
      </c>
      <c r="AF21" t="s">
        <v>112</v>
      </c>
      <c r="AG21" t="s">
        <v>113</v>
      </c>
      <c r="AH21" t="s">
        <v>58</v>
      </c>
      <c r="AI21" t="s">
        <v>59</v>
      </c>
      <c r="AJ21" t="s">
        <v>59</v>
      </c>
      <c r="AK21" t="s">
        <v>114</v>
      </c>
      <c r="AL21" t="s">
        <v>61</v>
      </c>
      <c r="AQ21" t="s">
        <v>51</v>
      </c>
      <c r="AR21">
        <v>1</v>
      </c>
      <c r="AS21" t="s">
        <v>52</v>
      </c>
      <c r="AT21" t="s">
        <v>53</v>
      </c>
      <c r="AV21" t="s">
        <v>54</v>
      </c>
      <c r="AW21">
        <v>59.798777114328601</v>
      </c>
      <c r="AX21" t="s">
        <v>55</v>
      </c>
    </row>
    <row r="22" spans="1:50" x14ac:dyDescent="0.3">
      <c r="A22">
        <v>19</v>
      </c>
      <c r="B22">
        <v>0</v>
      </c>
      <c r="C22">
        <v>19</v>
      </c>
      <c r="D22" t="s">
        <v>115</v>
      </c>
      <c r="E22" t="s">
        <v>116</v>
      </c>
      <c r="F22" t="s">
        <v>58</v>
      </c>
      <c r="G22" t="s">
        <v>59</v>
      </c>
      <c r="H22" t="s">
        <v>59</v>
      </c>
      <c r="I22">
        <f t="shared" si="0"/>
        <v>1.9055265000788399</v>
      </c>
      <c r="J22" t="s">
        <v>117</v>
      </c>
      <c r="K22" t="s">
        <v>61</v>
      </c>
      <c r="L22">
        <v>19</v>
      </c>
      <c r="M22">
        <v>0</v>
      </c>
      <c r="N22">
        <v>19</v>
      </c>
      <c r="O22">
        <v>0</v>
      </c>
      <c r="P22">
        <v>49.812305800034601</v>
      </c>
      <c r="Z22">
        <v>5</v>
      </c>
      <c r="AA22">
        <v>49.802900500013401</v>
      </c>
      <c r="AB22">
        <v>49.812305800034601</v>
      </c>
      <c r="AC22">
        <v>49.812305800034601</v>
      </c>
      <c r="AD22">
        <v>2.7998900040984102E-2</v>
      </c>
      <c r="AE22">
        <v>51.708541000029001</v>
      </c>
      <c r="AF22" t="s">
        <v>115</v>
      </c>
      <c r="AG22" t="s">
        <v>116</v>
      </c>
      <c r="AH22" t="s">
        <v>58</v>
      </c>
      <c r="AI22" t="s">
        <v>59</v>
      </c>
      <c r="AJ22" t="s">
        <v>59</v>
      </c>
      <c r="AK22" t="s">
        <v>117</v>
      </c>
      <c r="AL22" t="s">
        <v>61</v>
      </c>
      <c r="AQ22" t="s">
        <v>51</v>
      </c>
      <c r="AR22">
        <v>1</v>
      </c>
      <c r="AS22" t="s">
        <v>52</v>
      </c>
      <c r="AT22" t="s">
        <v>53</v>
      </c>
      <c r="AV22" t="s">
        <v>54</v>
      </c>
      <c r="AW22">
        <v>59.798777114328601</v>
      </c>
      <c r="AX22" t="s">
        <v>55</v>
      </c>
    </row>
    <row r="23" spans="1:50" x14ac:dyDescent="0.3">
      <c r="A23">
        <v>20</v>
      </c>
      <c r="B23">
        <v>0</v>
      </c>
      <c r="C23">
        <v>20</v>
      </c>
      <c r="D23" t="s">
        <v>118</v>
      </c>
      <c r="E23" t="s">
        <v>119</v>
      </c>
      <c r="F23" t="s">
        <v>58</v>
      </c>
      <c r="G23" t="s">
        <v>59</v>
      </c>
      <c r="H23" t="s">
        <v>59</v>
      </c>
      <c r="I23">
        <f t="shared" si="0"/>
        <v>2.5502737999195202</v>
      </c>
      <c r="J23" t="s">
        <v>120</v>
      </c>
      <c r="K23" t="s">
        <v>61</v>
      </c>
      <c r="L23">
        <v>20</v>
      </c>
      <c r="M23">
        <v>0</v>
      </c>
      <c r="N23">
        <v>20</v>
      </c>
      <c r="O23">
        <v>0</v>
      </c>
      <c r="P23">
        <v>51.754766700090798</v>
      </c>
      <c r="Z23">
        <v>5</v>
      </c>
      <c r="AA23">
        <v>51.740956100053097</v>
      </c>
      <c r="AB23">
        <v>51.754766700090798</v>
      </c>
      <c r="AC23">
        <v>51.754766700090798</v>
      </c>
      <c r="AD23">
        <v>3.21830000029876E-2</v>
      </c>
      <c r="AE23">
        <v>54.291403700015501</v>
      </c>
      <c r="AF23" t="s">
        <v>118</v>
      </c>
      <c r="AG23" t="s">
        <v>119</v>
      </c>
      <c r="AH23" t="s">
        <v>58</v>
      </c>
      <c r="AI23" t="s">
        <v>59</v>
      </c>
      <c r="AJ23" t="s">
        <v>59</v>
      </c>
      <c r="AK23" t="s">
        <v>120</v>
      </c>
      <c r="AL23" t="s">
        <v>61</v>
      </c>
      <c r="AQ23" t="s">
        <v>51</v>
      </c>
      <c r="AR23">
        <v>1</v>
      </c>
      <c r="AS23" t="s">
        <v>52</v>
      </c>
      <c r="AT23" t="s">
        <v>53</v>
      </c>
      <c r="AV23" t="s">
        <v>54</v>
      </c>
      <c r="AW23">
        <v>59.798777114328601</v>
      </c>
      <c r="AX23" t="s">
        <v>55</v>
      </c>
    </row>
    <row r="24" spans="1:50" x14ac:dyDescent="0.3">
      <c r="A24">
        <v>21</v>
      </c>
      <c r="B24">
        <v>0</v>
      </c>
      <c r="C24">
        <v>21</v>
      </c>
      <c r="D24" t="s">
        <v>121</v>
      </c>
      <c r="E24" t="s">
        <v>122</v>
      </c>
      <c r="F24" t="s">
        <v>58</v>
      </c>
      <c r="G24" t="s">
        <v>59</v>
      </c>
      <c r="H24" t="s">
        <v>59</v>
      </c>
      <c r="I24">
        <f t="shared" si="0"/>
        <v>2.2796959000406698</v>
      </c>
      <c r="J24" t="s">
        <v>123</v>
      </c>
      <c r="K24" t="s">
        <v>61</v>
      </c>
      <c r="L24">
        <v>21</v>
      </c>
      <c r="M24">
        <v>0</v>
      </c>
      <c r="N24">
        <v>21</v>
      </c>
      <c r="O24">
        <v>0</v>
      </c>
      <c r="P24">
        <v>54.342013600049498</v>
      </c>
      <c r="Z24">
        <v>5</v>
      </c>
      <c r="AA24">
        <v>54.328465000027698</v>
      </c>
      <c r="AB24">
        <v>54.342013600049498</v>
      </c>
      <c r="AC24">
        <v>54.342013600049498</v>
      </c>
      <c r="AD24">
        <v>3.6758500034920802E-2</v>
      </c>
      <c r="AE24">
        <v>56.6082857000874</v>
      </c>
      <c r="AF24" t="s">
        <v>121</v>
      </c>
      <c r="AG24" t="s">
        <v>122</v>
      </c>
      <c r="AH24" t="s">
        <v>58</v>
      </c>
      <c r="AI24" t="s">
        <v>59</v>
      </c>
      <c r="AJ24" t="s">
        <v>59</v>
      </c>
      <c r="AK24" t="s">
        <v>123</v>
      </c>
      <c r="AL24" t="s">
        <v>61</v>
      </c>
      <c r="AQ24" t="s">
        <v>51</v>
      </c>
      <c r="AR24">
        <v>1</v>
      </c>
      <c r="AS24" t="s">
        <v>52</v>
      </c>
      <c r="AT24" t="s">
        <v>53</v>
      </c>
      <c r="AV24" t="s">
        <v>54</v>
      </c>
      <c r="AW24">
        <v>59.798777114328601</v>
      </c>
      <c r="AX24" t="s">
        <v>55</v>
      </c>
    </row>
    <row r="25" spans="1:50" x14ac:dyDescent="0.3">
      <c r="A25">
        <v>22</v>
      </c>
      <c r="B25">
        <v>0</v>
      </c>
      <c r="C25">
        <v>22</v>
      </c>
      <c r="D25" t="s">
        <v>90</v>
      </c>
      <c r="E25" t="s">
        <v>124</v>
      </c>
      <c r="F25" t="s">
        <v>58</v>
      </c>
      <c r="G25" t="s">
        <v>59</v>
      </c>
      <c r="H25" t="s">
        <v>59</v>
      </c>
      <c r="I25">
        <f t="shared" si="0"/>
        <v>1.7988240999402401</v>
      </c>
      <c r="J25" t="s">
        <v>125</v>
      </c>
      <c r="K25" t="s">
        <v>61</v>
      </c>
      <c r="L25">
        <v>22</v>
      </c>
      <c r="M25">
        <v>0</v>
      </c>
      <c r="N25">
        <v>22</v>
      </c>
      <c r="O25">
        <v>0</v>
      </c>
      <c r="P25">
        <v>56.6522890999913</v>
      </c>
      <c r="Z25">
        <v>5</v>
      </c>
      <c r="AA25">
        <v>56.642255800077599</v>
      </c>
      <c r="AB25">
        <v>56.6522890999913</v>
      </c>
      <c r="AC25">
        <v>56.6522890999913</v>
      </c>
      <c r="AD25">
        <v>3.3630100078880697E-2</v>
      </c>
      <c r="AE25">
        <v>58.441228899988303</v>
      </c>
      <c r="AF25" t="s">
        <v>90</v>
      </c>
      <c r="AG25" t="s">
        <v>124</v>
      </c>
      <c r="AH25" t="s">
        <v>58</v>
      </c>
      <c r="AI25" t="s">
        <v>59</v>
      </c>
      <c r="AJ25" t="s">
        <v>59</v>
      </c>
      <c r="AK25" t="s">
        <v>125</v>
      </c>
      <c r="AL25" t="s">
        <v>61</v>
      </c>
      <c r="AQ25" t="s">
        <v>51</v>
      </c>
      <c r="AR25">
        <v>1</v>
      </c>
      <c r="AS25" t="s">
        <v>52</v>
      </c>
      <c r="AT25" t="s">
        <v>53</v>
      </c>
      <c r="AV25" t="s">
        <v>54</v>
      </c>
      <c r="AW25">
        <v>59.798777114328601</v>
      </c>
      <c r="AX25" t="s">
        <v>55</v>
      </c>
    </row>
    <row r="26" spans="1:50" x14ac:dyDescent="0.3">
      <c r="A26">
        <v>23</v>
      </c>
      <c r="B26">
        <v>0</v>
      </c>
      <c r="C26">
        <v>23</v>
      </c>
      <c r="D26" t="s">
        <v>103</v>
      </c>
      <c r="E26" t="s">
        <v>126</v>
      </c>
      <c r="F26" t="s">
        <v>58</v>
      </c>
      <c r="G26" t="s">
        <v>59</v>
      </c>
      <c r="H26" t="s">
        <v>59</v>
      </c>
      <c r="I26">
        <f t="shared" si="0"/>
        <v>2.0299507000017898</v>
      </c>
      <c r="J26" t="s">
        <v>127</v>
      </c>
      <c r="K26" t="s">
        <v>61</v>
      </c>
      <c r="L26">
        <v>23</v>
      </c>
      <c r="M26">
        <v>0</v>
      </c>
      <c r="N26">
        <v>23</v>
      </c>
      <c r="O26">
        <v>0</v>
      </c>
      <c r="P26">
        <v>58.474764300044598</v>
      </c>
      <c r="Z26">
        <v>5</v>
      </c>
      <c r="AA26">
        <v>58.461679600062702</v>
      </c>
      <c r="AB26">
        <v>58.474764300044598</v>
      </c>
      <c r="AC26">
        <v>58.474764300044598</v>
      </c>
      <c r="AD26">
        <v>2.0195799996145E-2</v>
      </c>
      <c r="AE26">
        <v>60.491733600036198</v>
      </c>
      <c r="AF26" t="s">
        <v>103</v>
      </c>
      <c r="AG26" t="s">
        <v>126</v>
      </c>
      <c r="AH26" t="s">
        <v>58</v>
      </c>
      <c r="AI26" t="s">
        <v>59</v>
      </c>
      <c r="AJ26" t="s">
        <v>59</v>
      </c>
      <c r="AK26" t="s">
        <v>127</v>
      </c>
      <c r="AL26" t="s">
        <v>61</v>
      </c>
      <c r="AQ26" t="s">
        <v>51</v>
      </c>
      <c r="AR26">
        <v>1</v>
      </c>
      <c r="AS26" t="s">
        <v>52</v>
      </c>
      <c r="AT26" t="s">
        <v>53</v>
      </c>
      <c r="AV26" t="s">
        <v>54</v>
      </c>
      <c r="AW26">
        <v>59.798777114328601</v>
      </c>
      <c r="AX26" t="s">
        <v>55</v>
      </c>
    </row>
    <row r="27" spans="1:50" x14ac:dyDescent="0.3">
      <c r="A27">
        <v>24</v>
      </c>
      <c r="B27">
        <v>0</v>
      </c>
      <c r="C27">
        <v>24</v>
      </c>
      <c r="D27" t="s">
        <v>128</v>
      </c>
      <c r="E27" t="s">
        <v>129</v>
      </c>
      <c r="F27" t="s">
        <v>58</v>
      </c>
      <c r="G27" t="s">
        <v>59</v>
      </c>
      <c r="H27" t="s">
        <v>59</v>
      </c>
      <c r="I27">
        <f t="shared" si="0"/>
        <v>1.9108296999474901</v>
      </c>
      <c r="J27" t="s">
        <v>130</v>
      </c>
      <c r="K27" t="s">
        <v>61</v>
      </c>
      <c r="L27">
        <v>24</v>
      </c>
      <c r="M27">
        <v>0</v>
      </c>
      <c r="N27">
        <v>24</v>
      </c>
      <c r="O27">
        <v>0</v>
      </c>
      <c r="P27">
        <v>60.5451953000156</v>
      </c>
      <c r="Z27">
        <v>10</v>
      </c>
      <c r="AA27">
        <v>60.530329400091397</v>
      </c>
      <c r="AB27">
        <v>60.5451953000156</v>
      </c>
      <c r="AC27">
        <v>60.5451953000156</v>
      </c>
      <c r="AD27">
        <v>3.8396199932321899E-2</v>
      </c>
      <c r="AE27">
        <v>62.441306699998599</v>
      </c>
      <c r="AF27" t="s">
        <v>128</v>
      </c>
      <c r="AG27" t="s">
        <v>129</v>
      </c>
      <c r="AH27" t="s">
        <v>58</v>
      </c>
      <c r="AI27" t="s">
        <v>59</v>
      </c>
      <c r="AJ27" t="s">
        <v>59</v>
      </c>
      <c r="AK27" t="s">
        <v>130</v>
      </c>
      <c r="AL27" t="s">
        <v>61</v>
      </c>
      <c r="AQ27" t="s">
        <v>51</v>
      </c>
      <c r="AR27">
        <v>1</v>
      </c>
      <c r="AS27" t="s">
        <v>52</v>
      </c>
      <c r="AT27" t="s">
        <v>53</v>
      </c>
      <c r="AV27" t="s">
        <v>54</v>
      </c>
      <c r="AW27">
        <v>59.798777114328601</v>
      </c>
      <c r="AX27" t="s">
        <v>55</v>
      </c>
    </row>
    <row r="28" spans="1:50" x14ac:dyDescent="0.3">
      <c r="A28">
        <v>25</v>
      </c>
      <c r="B28">
        <v>0</v>
      </c>
      <c r="C28">
        <v>25</v>
      </c>
      <c r="D28" t="s">
        <v>131</v>
      </c>
      <c r="E28" t="s">
        <v>132</v>
      </c>
      <c r="F28" t="s">
        <v>58</v>
      </c>
      <c r="G28" t="s">
        <v>59</v>
      </c>
      <c r="H28" t="s">
        <v>59</v>
      </c>
      <c r="I28">
        <f t="shared" si="0"/>
        <v>2.1598279000027101</v>
      </c>
      <c r="J28" t="s">
        <v>133</v>
      </c>
      <c r="K28" t="s">
        <v>61</v>
      </c>
      <c r="L28">
        <v>25</v>
      </c>
      <c r="M28">
        <v>0</v>
      </c>
      <c r="N28">
        <v>25</v>
      </c>
      <c r="O28">
        <v>0</v>
      </c>
      <c r="P28">
        <v>62.476166300009901</v>
      </c>
      <c r="Z28">
        <v>5</v>
      </c>
      <c r="AA28">
        <v>62.463858600007299</v>
      </c>
      <c r="AB28">
        <v>62.476166300009901</v>
      </c>
      <c r="AC28">
        <v>62.476166300009901</v>
      </c>
      <c r="AD28">
        <v>2.2313000052236E-2</v>
      </c>
      <c r="AE28">
        <v>64.623804400092894</v>
      </c>
      <c r="AF28" t="s">
        <v>131</v>
      </c>
      <c r="AG28" t="s">
        <v>132</v>
      </c>
      <c r="AH28" t="s">
        <v>58</v>
      </c>
      <c r="AI28" t="s">
        <v>59</v>
      </c>
      <c r="AJ28" t="s">
        <v>59</v>
      </c>
      <c r="AK28" t="s">
        <v>133</v>
      </c>
      <c r="AL28" t="s">
        <v>61</v>
      </c>
      <c r="AQ28" t="s">
        <v>51</v>
      </c>
      <c r="AR28">
        <v>1</v>
      </c>
      <c r="AS28" t="s">
        <v>52</v>
      </c>
      <c r="AT28" t="s">
        <v>53</v>
      </c>
      <c r="AV28" t="s">
        <v>54</v>
      </c>
      <c r="AW28">
        <v>59.798777114328601</v>
      </c>
      <c r="AX28" t="s">
        <v>55</v>
      </c>
    </row>
    <row r="29" spans="1:50" x14ac:dyDescent="0.3">
      <c r="A29">
        <v>26</v>
      </c>
      <c r="B29">
        <v>0</v>
      </c>
      <c r="C29">
        <v>26</v>
      </c>
      <c r="D29" t="s">
        <v>134</v>
      </c>
      <c r="E29" t="s">
        <v>135</v>
      </c>
      <c r="F29" t="s">
        <v>58</v>
      </c>
      <c r="G29" t="s">
        <v>59</v>
      </c>
      <c r="H29" t="s">
        <v>59</v>
      </c>
      <c r="I29">
        <f t="shared" si="0"/>
        <v>1.9816341999685301</v>
      </c>
      <c r="J29" t="s">
        <v>136</v>
      </c>
      <c r="K29" t="s">
        <v>61</v>
      </c>
      <c r="L29">
        <v>26</v>
      </c>
      <c r="M29">
        <v>0</v>
      </c>
      <c r="N29">
        <v>26</v>
      </c>
      <c r="O29">
        <v>0</v>
      </c>
      <c r="P29">
        <v>64.6915707000298</v>
      </c>
      <c r="Z29">
        <v>10</v>
      </c>
      <c r="AA29">
        <v>64.675354400067505</v>
      </c>
      <c r="AB29">
        <v>64.6915707000298</v>
      </c>
      <c r="AC29">
        <v>64.6915707000298</v>
      </c>
      <c r="AD29">
        <v>5.1312000025063698E-2</v>
      </c>
      <c r="AE29">
        <v>66.657187900040299</v>
      </c>
      <c r="AF29" t="s">
        <v>134</v>
      </c>
      <c r="AG29" t="s">
        <v>135</v>
      </c>
      <c r="AH29" t="s">
        <v>58</v>
      </c>
      <c r="AI29" t="s">
        <v>59</v>
      </c>
      <c r="AJ29" t="s">
        <v>59</v>
      </c>
      <c r="AK29" t="s">
        <v>136</v>
      </c>
      <c r="AL29" t="s">
        <v>61</v>
      </c>
      <c r="AQ29" t="s">
        <v>51</v>
      </c>
      <c r="AR29">
        <v>1</v>
      </c>
      <c r="AS29" t="s">
        <v>52</v>
      </c>
      <c r="AT29" t="s">
        <v>53</v>
      </c>
      <c r="AV29" t="s">
        <v>54</v>
      </c>
      <c r="AW29">
        <v>59.798777114328601</v>
      </c>
      <c r="AX29" t="s">
        <v>55</v>
      </c>
    </row>
    <row r="30" spans="1:50" x14ac:dyDescent="0.3">
      <c r="A30">
        <v>27</v>
      </c>
      <c r="B30">
        <v>0</v>
      </c>
      <c r="C30">
        <v>27</v>
      </c>
      <c r="D30" t="s">
        <v>137</v>
      </c>
      <c r="E30" t="s">
        <v>138</v>
      </c>
      <c r="F30" t="s">
        <v>58</v>
      </c>
      <c r="G30" t="s">
        <v>59</v>
      </c>
      <c r="H30" t="s">
        <v>59</v>
      </c>
      <c r="I30">
        <f t="shared" si="0"/>
        <v>2.1367172000463999</v>
      </c>
      <c r="J30" t="s">
        <v>139</v>
      </c>
      <c r="K30" t="s">
        <v>61</v>
      </c>
      <c r="L30">
        <v>27</v>
      </c>
      <c r="M30">
        <v>0</v>
      </c>
      <c r="N30">
        <v>27</v>
      </c>
      <c r="O30">
        <v>0</v>
      </c>
      <c r="P30">
        <v>66.695516400039196</v>
      </c>
      <c r="Z30">
        <v>5</v>
      </c>
      <c r="AA30">
        <v>66.687394500011493</v>
      </c>
      <c r="AB30">
        <v>66.695516400039196</v>
      </c>
      <c r="AC30">
        <v>66.695516400039196</v>
      </c>
      <c r="AD30">
        <v>2.9678400023840298E-2</v>
      </c>
      <c r="AE30">
        <v>68.824224000098098</v>
      </c>
      <c r="AF30" t="s">
        <v>137</v>
      </c>
      <c r="AG30" t="s">
        <v>138</v>
      </c>
      <c r="AH30" t="s">
        <v>58</v>
      </c>
      <c r="AI30" t="s">
        <v>59</v>
      </c>
      <c r="AJ30" t="s">
        <v>59</v>
      </c>
      <c r="AK30" t="s">
        <v>139</v>
      </c>
      <c r="AL30" t="s">
        <v>61</v>
      </c>
      <c r="AQ30" t="s">
        <v>51</v>
      </c>
      <c r="AR30">
        <v>1</v>
      </c>
      <c r="AS30" t="s">
        <v>52</v>
      </c>
      <c r="AT30" t="s">
        <v>53</v>
      </c>
      <c r="AV30" t="s">
        <v>54</v>
      </c>
      <c r="AW30">
        <v>59.798777114328601</v>
      </c>
      <c r="AX30" t="s">
        <v>55</v>
      </c>
    </row>
    <row r="31" spans="1:50" x14ac:dyDescent="0.3">
      <c r="A31">
        <v>28</v>
      </c>
      <c r="B31">
        <v>0</v>
      </c>
      <c r="C31">
        <v>28</v>
      </c>
      <c r="D31" t="s">
        <v>140</v>
      </c>
      <c r="E31" t="s">
        <v>116</v>
      </c>
      <c r="F31" t="s">
        <v>58</v>
      </c>
      <c r="G31" t="s">
        <v>59</v>
      </c>
      <c r="H31" t="s">
        <v>59</v>
      </c>
      <c r="I31">
        <f t="shared" si="0"/>
        <v>2.6812038000207301</v>
      </c>
      <c r="J31" t="s">
        <v>141</v>
      </c>
      <c r="K31" t="s">
        <v>61</v>
      </c>
      <c r="L31">
        <v>28</v>
      </c>
      <c r="M31">
        <v>0</v>
      </c>
      <c r="N31">
        <v>28</v>
      </c>
      <c r="O31">
        <v>0</v>
      </c>
      <c r="P31">
        <v>68.895976500003599</v>
      </c>
      <c r="Z31">
        <v>10</v>
      </c>
      <c r="AA31">
        <v>68.875447900034402</v>
      </c>
      <c r="AB31">
        <v>68.895976500003599</v>
      </c>
      <c r="AC31">
        <v>68.895976500003599</v>
      </c>
      <c r="AD31">
        <v>5.1034200005233198E-2</v>
      </c>
      <c r="AE31">
        <v>71.556722500012199</v>
      </c>
      <c r="AF31" t="s">
        <v>140</v>
      </c>
      <c r="AG31" t="s">
        <v>116</v>
      </c>
      <c r="AH31" t="s">
        <v>58</v>
      </c>
      <c r="AI31" t="s">
        <v>59</v>
      </c>
      <c r="AJ31" t="s">
        <v>59</v>
      </c>
      <c r="AK31" t="s">
        <v>141</v>
      </c>
      <c r="AL31" t="s">
        <v>61</v>
      </c>
      <c r="AQ31" t="s">
        <v>51</v>
      </c>
      <c r="AR31">
        <v>1</v>
      </c>
      <c r="AS31" t="s">
        <v>52</v>
      </c>
      <c r="AT31" t="s">
        <v>53</v>
      </c>
      <c r="AV31" t="s">
        <v>54</v>
      </c>
      <c r="AW31">
        <v>59.798777114328601</v>
      </c>
      <c r="AX31" t="s">
        <v>55</v>
      </c>
    </row>
    <row r="32" spans="1:50" x14ac:dyDescent="0.3">
      <c r="A32">
        <v>29</v>
      </c>
      <c r="B32">
        <v>0</v>
      </c>
      <c r="C32">
        <v>29</v>
      </c>
      <c r="D32" t="s">
        <v>142</v>
      </c>
      <c r="E32" t="s">
        <v>143</v>
      </c>
      <c r="F32" t="s">
        <v>58</v>
      </c>
      <c r="G32" t="s">
        <v>59</v>
      </c>
      <c r="H32" t="s">
        <v>59</v>
      </c>
      <c r="I32">
        <f t="shared" si="0"/>
        <v>2.9228130000410601</v>
      </c>
      <c r="J32" t="s">
        <v>144</v>
      </c>
      <c r="K32" t="s">
        <v>61</v>
      </c>
      <c r="L32">
        <v>29</v>
      </c>
      <c r="M32">
        <v>0</v>
      </c>
      <c r="N32">
        <v>29</v>
      </c>
      <c r="O32">
        <v>0</v>
      </c>
      <c r="P32">
        <v>71.601935600047</v>
      </c>
      <c r="Z32">
        <v>10</v>
      </c>
      <c r="AA32">
        <v>71.585057200048993</v>
      </c>
      <c r="AB32">
        <v>71.601935600047</v>
      </c>
      <c r="AC32">
        <v>71.601935600047</v>
      </c>
      <c r="AD32">
        <v>2.8194000013172599E-2</v>
      </c>
      <c r="AE32">
        <v>74.507971600047298</v>
      </c>
      <c r="AF32" t="s">
        <v>142</v>
      </c>
      <c r="AG32" t="s">
        <v>143</v>
      </c>
      <c r="AH32" t="s">
        <v>58</v>
      </c>
      <c r="AI32" t="s">
        <v>59</v>
      </c>
      <c r="AJ32" t="s">
        <v>59</v>
      </c>
      <c r="AK32" t="s">
        <v>144</v>
      </c>
      <c r="AL32" t="s">
        <v>61</v>
      </c>
      <c r="AQ32" t="s">
        <v>51</v>
      </c>
      <c r="AR32">
        <v>1</v>
      </c>
      <c r="AS32" t="s">
        <v>52</v>
      </c>
      <c r="AT32" t="s">
        <v>53</v>
      </c>
      <c r="AV32" t="s">
        <v>54</v>
      </c>
      <c r="AW32">
        <v>59.798777114328601</v>
      </c>
      <c r="AX32" t="s">
        <v>55</v>
      </c>
    </row>
    <row r="33" spans="1:50" x14ac:dyDescent="0.3">
      <c r="A33">
        <v>30</v>
      </c>
      <c r="B33">
        <v>0</v>
      </c>
      <c r="C33">
        <v>30</v>
      </c>
      <c r="D33" t="s">
        <v>145</v>
      </c>
      <c r="E33" t="s">
        <v>146</v>
      </c>
      <c r="F33" t="s">
        <v>58</v>
      </c>
      <c r="G33" t="s">
        <v>59</v>
      </c>
      <c r="H33" t="s">
        <v>59</v>
      </c>
      <c r="I33">
        <f t="shared" si="0"/>
        <v>2.1668724999763</v>
      </c>
      <c r="J33" t="s">
        <v>147</v>
      </c>
      <c r="K33" t="s">
        <v>61</v>
      </c>
      <c r="L33">
        <v>30</v>
      </c>
      <c r="M33">
        <v>0</v>
      </c>
      <c r="N33">
        <v>30</v>
      </c>
      <c r="O33">
        <v>0</v>
      </c>
      <c r="P33">
        <v>74.554473500000299</v>
      </c>
      <c r="Z33">
        <v>10</v>
      </c>
      <c r="AA33">
        <v>74.540764500037696</v>
      </c>
      <c r="AB33">
        <v>74.554473500000299</v>
      </c>
      <c r="AC33">
        <v>74.554473500000299</v>
      </c>
      <c r="AD33">
        <v>3.2644200022332301E-2</v>
      </c>
      <c r="AE33">
        <v>76.707777100033098</v>
      </c>
      <c r="AF33" t="s">
        <v>145</v>
      </c>
      <c r="AG33" t="s">
        <v>146</v>
      </c>
      <c r="AH33" t="s">
        <v>58</v>
      </c>
      <c r="AI33" t="s">
        <v>59</v>
      </c>
      <c r="AJ33" t="s">
        <v>59</v>
      </c>
      <c r="AK33" t="s">
        <v>147</v>
      </c>
      <c r="AL33" t="s">
        <v>61</v>
      </c>
      <c r="AQ33" t="s">
        <v>51</v>
      </c>
      <c r="AR33">
        <v>1</v>
      </c>
      <c r="AS33" t="s">
        <v>52</v>
      </c>
      <c r="AT33" t="s">
        <v>53</v>
      </c>
      <c r="AV33" t="s">
        <v>54</v>
      </c>
      <c r="AW33">
        <v>59.798777114328601</v>
      </c>
      <c r="AX33" t="s">
        <v>55</v>
      </c>
    </row>
    <row r="34" spans="1:50" x14ac:dyDescent="0.3">
      <c r="A34">
        <v>31</v>
      </c>
      <c r="B34">
        <v>0</v>
      </c>
      <c r="C34">
        <v>31</v>
      </c>
      <c r="D34" t="s">
        <v>148</v>
      </c>
      <c r="E34" t="s">
        <v>149</v>
      </c>
      <c r="F34" t="s">
        <v>58</v>
      </c>
      <c r="G34" t="s">
        <v>59</v>
      </c>
      <c r="H34" t="s">
        <v>59</v>
      </c>
      <c r="I34">
        <f t="shared" si="0"/>
        <v>1.95254420000128</v>
      </c>
      <c r="J34" t="s">
        <v>150</v>
      </c>
      <c r="K34" t="s">
        <v>61</v>
      </c>
      <c r="L34">
        <v>31</v>
      </c>
      <c r="M34">
        <v>0</v>
      </c>
      <c r="N34">
        <v>31</v>
      </c>
      <c r="O34">
        <v>0</v>
      </c>
      <c r="P34">
        <v>76.766209500026804</v>
      </c>
      <c r="Z34">
        <v>10</v>
      </c>
      <c r="AA34">
        <v>76.754982299986295</v>
      </c>
      <c r="AB34">
        <v>76.766209500026804</v>
      </c>
      <c r="AC34">
        <v>76.766209500026804</v>
      </c>
      <c r="AD34">
        <v>4.6874199993908398E-2</v>
      </c>
      <c r="AE34">
        <v>78.707677700091097</v>
      </c>
      <c r="AF34" t="s">
        <v>148</v>
      </c>
      <c r="AG34" t="s">
        <v>149</v>
      </c>
      <c r="AH34" t="s">
        <v>58</v>
      </c>
      <c r="AI34" t="s">
        <v>59</v>
      </c>
      <c r="AJ34" t="s">
        <v>59</v>
      </c>
      <c r="AK34" t="s">
        <v>150</v>
      </c>
      <c r="AL34" t="s">
        <v>61</v>
      </c>
      <c r="AQ34" t="s">
        <v>51</v>
      </c>
      <c r="AR34">
        <v>1</v>
      </c>
      <c r="AS34" t="s">
        <v>52</v>
      </c>
      <c r="AT34" t="s">
        <v>53</v>
      </c>
      <c r="AV34" t="s">
        <v>54</v>
      </c>
      <c r="AW34">
        <v>59.798777114328601</v>
      </c>
      <c r="AX34" t="s">
        <v>55</v>
      </c>
    </row>
    <row r="35" spans="1:50" x14ac:dyDescent="0.3">
      <c r="A35">
        <v>32</v>
      </c>
      <c r="B35">
        <v>0</v>
      </c>
      <c r="C35">
        <v>32</v>
      </c>
      <c r="D35" t="s">
        <v>151</v>
      </c>
      <c r="E35" t="s">
        <v>112</v>
      </c>
      <c r="F35" t="s">
        <v>58</v>
      </c>
      <c r="G35" t="s">
        <v>59</v>
      </c>
      <c r="H35" t="s">
        <v>59</v>
      </c>
      <c r="I35">
        <f t="shared" si="0"/>
        <v>1.8801581999287</v>
      </c>
      <c r="J35" t="s">
        <v>152</v>
      </c>
      <c r="K35" t="s">
        <v>61</v>
      </c>
      <c r="L35">
        <v>32</v>
      </c>
      <c r="M35">
        <v>0</v>
      </c>
      <c r="N35">
        <v>32</v>
      </c>
      <c r="O35">
        <v>0</v>
      </c>
      <c r="P35">
        <v>78.779860800015697</v>
      </c>
      <c r="Z35">
        <v>10</v>
      </c>
      <c r="AA35">
        <v>78.760894000064496</v>
      </c>
      <c r="AB35">
        <v>78.779860800015697</v>
      </c>
      <c r="AC35">
        <v>78.779860800015697</v>
      </c>
      <c r="AD35">
        <v>5.2903399919159697E-2</v>
      </c>
      <c r="AE35">
        <v>80.641124200075794</v>
      </c>
      <c r="AF35" t="s">
        <v>151</v>
      </c>
      <c r="AG35" t="s">
        <v>112</v>
      </c>
      <c r="AH35" t="s">
        <v>58</v>
      </c>
      <c r="AI35" t="s">
        <v>59</v>
      </c>
      <c r="AJ35" t="s">
        <v>59</v>
      </c>
      <c r="AK35" t="s">
        <v>152</v>
      </c>
      <c r="AL35" t="s">
        <v>61</v>
      </c>
      <c r="AQ35" t="s">
        <v>51</v>
      </c>
      <c r="AR35">
        <v>1</v>
      </c>
      <c r="AS35" t="s">
        <v>52</v>
      </c>
      <c r="AT35" t="s">
        <v>53</v>
      </c>
      <c r="AV35" t="s">
        <v>54</v>
      </c>
      <c r="AW35">
        <v>59.798777114328601</v>
      </c>
      <c r="AX35" t="s">
        <v>55</v>
      </c>
    </row>
    <row r="36" spans="1:50" x14ac:dyDescent="0.3">
      <c r="A36">
        <v>33</v>
      </c>
      <c r="B36">
        <v>0</v>
      </c>
      <c r="C36">
        <v>33</v>
      </c>
      <c r="D36" t="s">
        <v>153</v>
      </c>
      <c r="E36" t="s">
        <v>154</v>
      </c>
      <c r="F36" t="s">
        <v>58</v>
      </c>
      <c r="G36" t="s">
        <v>59</v>
      </c>
      <c r="H36" t="s">
        <v>59</v>
      </c>
      <c r="I36">
        <f t="shared" si="0"/>
        <v>1.6820423000026401</v>
      </c>
      <c r="J36" t="s">
        <v>155</v>
      </c>
      <c r="K36" t="s">
        <v>61</v>
      </c>
      <c r="L36">
        <v>33</v>
      </c>
      <c r="M36">
        <v>0</v>
      </c>
      <c r="N36">
        <v>33</v>
      </c>
      <c r="O36">
        <v>0</v>
      </c>
      <c r="P36">
        <v>80.667630800045998</v>
      </c>
      <c r="Z36">
        <v>5</v>
      </c>
      <c r="AA36">
        <v>80.657643600017707</v>
      </c>
      <c r="AB36">
        <v>80.667630800045998</v>
      </c>
      <c r="AC36">
        <v>80.667630800045998</v>
      </c>
      <c r="AD36">
        <v>1.6326899989507999E-2</v>
      </c>
      <c r="AE36">
        <v>82.339895799988795</v>
      </c>
      <c r="AF36" t="s">
        <v>153</v>
      </c>
      <c r="AG36" t="s">
        <v>154</v>
      </c>
      <c r="AH36" t="s">
        <v>58</v>
      </c>
      <c r="AI36" t="s">
        <v>59</v>
      </c>
      <c r="AJ36" t="s">
        <v>59</v>
      </c>
      <c r="AK36" t="s">
        <v>155</v>
      </c>
      <c r="AL36" t="s">
        <v>61</v>
      </c>
      <c r="AQ36" t="s">
        <v>51</v>
      </c>
      <c r="AR36">
        <v>1</v>
      </c>
      <c r="AS36" t="s">
        <v>52</v>
      </c>
      <c r="AT36" t="s">
        <v>53</v>
      </c>
      <c r="AV36" t="s">
        <v>54</v>
      </c>
      <c r="AW36">
        <v>59.798777114328601</v>
      </c>
      <c r="AX36" t="s">
        <v>55</v>
      </c>
    </row>
    <row r="37" spans="1:50" x14ac:dyDescent="0.3">
      <c r="A37">
        <v>34</v>
      </c>
      <c r="B37">
        <v>0</v>
      </c>
      <c r="C37">
        <v>34</v>
      </c>
      <c r="D37" t="s">
        <v>156</v>
      </c>
      <c r="E37" t="s">
        <v>157</v>
      </c>
      <c r="F37" t="s">
        <v>58</v>
      </c>
      <c r="G37" t="s">
        <v>59</v>
      </c>
      <c r="H37" t="s">
        <v>59</v>
      </c>
      <c r="I37">
        <f t="shared" si="0"/>
        <v>2.4664884000085201</v>
      </c>
      <c r="J37" t="s">
        <v>158</v>
      </c>
      <c r="K37" t="s">
        <v>61</v>
      </c>
      <c r="L37">
        <v>34</v>
      </c>
      <c r="M37">
        <v>0</v>
      </c>
      <c r="N37">
        <v>34</v>
      </c>
      <c r="O37">
        <v>0</v>
      </c>
      <c r="P37">
        <v>82.388218400068496</v>
      </c>
      <c r="Z37">
        <v>5</v>
      </c>
      <c r="AA37">
        <v>82.372785000014105</v>
      </c>
      <c r="AB37">
        <v>82.388218400068496</v>
      </c>
      <c r="AC37">
        <v>82.388218400068496</v>
      </c>
      <c r="AD37">
        <v>3.2561799976974698E-2</v>
      </c>
      <c r="AE37">
        <v>84.839386400068094</v>
      </c>
      <c r="AF37" t="s">
        <v>156</v>
      </c>
      <c r="AG37" t="s">
        <v>157</v>
      </c>
      <c r="AH37" t="s">
        <v>58</v>
      </c>
      <c r="AI37" t="s">
        <v>59</v>
      </c>
      <c r="AJ37" t="s">
        <v>59</v>
      </c>
      <c r="AK37" t="s">
        <v>158</v>
      </c>
      <c r="AL37" t="s">
        <v>61</v>
      </c>
      <c r="AQ37" t="s">
        <v>51</v>
      </c>
      <c r="AR37">
        <v>1</v>
      </c>
      <c r="AS37" t="s">
        <v>52</v>
      </c>
      <c r="AT37" t="s">
        <v>53</v>
      </c>
      <c r="AV37" t="s">
        <v>54</v>
      </c>
      <c r="AW37">
        <v>59.798777114328601</v>
      </c>
      <c r="AX37" t="s">
        <v>55</v>
      </c>
    </row>
    <row r="38" spans="1:50" x14ac:dyDescent="0.3">
      <c r="A38">
        <v>35</v>
      </c>
      <c r="B38">
        <v>0</v>
      </c>
      <c r="C38">
        <v>35</v>
      </c>
      <c r="D38" t="s">
        <v>159</v>
      </c>
      <c r="E38" t="s">
        <v>160</v>
      </c>
      <c r="F38" t="s">
        <v>58</v>
      </c>
      <c r="G38" t="s">
        <v>59</v>
      </c>
      <c r="H38" t="s">
        <v>59</v>
      </c>
      <c r="I38">
        <f t="shared" si="0"/>
        <v>1.68331260001286</v>
      </c>
      <c r="J38" t="s">
        <v>161</v>
      </c>
      <c r="K38" t="s">
        <v>61</v>
      </c>
      <c r="L38">
        <v>35</v>
      </c>
      <c r="M38">
        <v>0</v>
      </c>
      <c r="N38">
        <v>35</v>
      </c>
      <c r="O38">
        <v>0</v>
      </c>
      <c r="P38">
        <v>84.931653900071893</v>
      </c>
      <c r="Z38">
        <v>10</v>
      </c>
      <c r="AA38">
        <v>84.905981700052493</v>
      </c>
      <c r="AB38">
        <v>84.931653900071893</v>
      </c>
      <c r="AC38">
        <v>84.931653900071893</v>
      </c>
      <c r="AD38">
        <v>6.6330500063486397E-2</v>
      </c>
      <c r="AE38">
        <v>86.589372800080994</v>
      </c>
      <c r="AF38" t="s">
        <v>159</v>
      </c>
      <c r="AG38" t="s">
        <v>160</v>
      </c>
      <c r="AH38" t="s">
        <v>58</v>
      </c>
      <c r="AI38" t="s">
        <v>59</v>
      </c>
      <c r="AJ38" t="s">
        <v>59</v>
      </c>
      <c r="AK38" t="s">
        <v>161</v>
      </c>
      <c r="AL38" t="s">
        <v>61</v>
      </c>
      <c r="AQ38" t="s">
        <v>51</v>
      </c>
      <c r="AR38">
        <v>1</v>
      </c>
      <c r="AS38" t="s">
        <v>52</v>
      </c>
      <c r="AT38" t="s">
        <v>53</v>
      </c>
      <c r="AV38" t="s">
        <v>54</v>
      </c>
      <c r="AW38">
        <v>59.798777114328601</v>
      </c>
      <c r="AX38" t="s">
        <v>55</v>
      </c>
    </row>
    <row r="39" spans="1:50" x14ac:dyDescent="0.3">
      <c r="A39">
        <v>36</v>
      </c>
      <c r="B39">
        <v>0</v>
      </c>
      <c r="C39">
        <v>36</v>
      </c>
      <c r="D39" t="s">
        <v>162</v>
      </c>
      <c r="E39" t="s">
        <v>163</v>
      </c>
      <c r="F39" t="s">
        <v>58</v>
      </c>
      <c r="G39" t="s">
        <v>59</v>
      </c>
      <c r="H39" t="s">
        <v>59</v>
      </c>
      <c r="I39">
        <f t="shared" si="0"/>
        <v>1.72926259995438</v>
      </c>
      <c r="J39" t="s">
        <v>164</v>
      </c>
      <c r="K39" t="s">
        <v>61</v>
      </c>
      <c r="L39">
        <v>36</v>
      </c>
      <c r="M39">
        <v>0</v>
      </c>
      <c r="N39">
        <v>36</v>
      </c>
      <c r="O39">
        <v>0</v>
      </c>
      <c r="P39">
        <v>86.619533400051296</v>
      </c>
      <c r="Z39">
        <v>5</v>
      </c>
      <c r="AA39">
        <v>86.610961100086499</v>
      </c>
      <c r="AB39">
        <v>86.619533400051296</v>
      </c>
      <c r="AC39">
        <v>86.619533400051296</v>
      </c>
      <c r="AD39">
        <v>2.1305600064806599E-2</v>
      </c>
      <c r="AE39">
        <v>88.340328900027004</v>
      </c>
      <c r="AF39" t="s">
        <v>162</v>
      </c>
      <c r="AG39" t="s">
        <v>163</v>
      </c>
      <c r="AH39" t="s">
        <v>58</v>
      </c>
      <c r="AI39" t="s">
        <v>59</v>
      </c>
      <c r="AJ39" t="s">
        <v>59</v>
      </c>
      <c r="AK39" t="s">
        <v>164</v>
      </c>
      <c r="AL39" t="s">
        <v>61</v>
      </c>
      <c r="AQ39" t="s">
        <v>51</v>
      </c>
      <c r="AR39">
        <v>1</v>
      </c>
      <c r="AS39" t="s">
        <v>52</v>
      </c>
      <c r="AT39" t="s">
        <v>53</v>
      </c>
      <c r="AV39" t="s">
        <v>54</v>
      </c>
      <c r="AW39">
        <v>59.798777114328601</v>
      </c>
      <c r="AX39" t="s">
        <v>55</v>
      </c>
    </row>
    <row r="40" spans="1:50" x14ac:dyDescent="0.3">
      <c r="A40">
        <v>37</v>
      </c>
      <c r="B40">
        <v>0</v>
      </c>
      <c r="C40">
        <v>37</v>
      </c>
      <c r="D40" t="s">
        <v>165</v>
      </c>
      <c r="E40" t="s">
        <v>166</v>
      </c>
      <c r="F40" t="s">
        <v>58</v>
      </c>
      <c r="G40" t="s">
        <v>59</v>
      </c>
      <c r="H40" t="s">
        <v>59</v>
      </c>
      <c r="I40">
        <f t="shared" si="0"/>
        <v>1.83347670000512</v>
      </c>
      <c r="J40" t="s">
        <v>167</v>
      </c>
      <c r="K40" t="s">
        <v>61</v>
      </c>
      <c r="L40">
        <v>37</v>
      </c>
      <c r="M40">
        <v>0</v>
      </c>
      <c r="N40">
        <v>37</v>
      </c>
      <c r="O40">
        <v>0</v>
      </c>
      <c r="P40">
        <v>88.3926124999998</v>
      </c>
      <c r="Z40">
        <v>10</v>
      </c>
      <c r="AA40">
        <v>88.372543500037807</v>
      </c>
      <c r="AB40">
        <v>88.3926124999998</v>
      </c>
      <c r="AC40">
        <v>88.3926124999998</v>
      </c>
      <c r="AD40">
        <v>3.2107900013215798E-2</v>
      </c>
      <c r="AE40">
        <v>90.206086400081404</v>
      </c>
      <c r="AF40" t="s">
        <v>165</v>
      </c>
      <c r="AG40" t="s">
        <v>166</v>
      </c>
      <c r="AH40" t="s">
        <v>58</v>
      </c>
      <c r="AI40" t="s">
        <v>59</v>
      </c>
      <c r="AJ40" t="s">
        <v>59</v>
      </c>
      <c r="AK40" t="s">
        <v>167</v>
      </c>
      <c r="AL40" t="s">
        <v>61</v>
      </c>
      <c r="AQ40" t="s">
        <v>51</v>
      </c>
      <c r="AR40">
        <v>1</v>
      </c>
      <c r="AS40" t="s">
        <v>52</v>
      </c>
      <c r="AT40" t="s">
        <v>53</v>
      </c>
      <c r="AV40" t="s">
        <v>54</v>
      </c>
      <c r="AW40">
        <v>59.798777114328601</v>
      </c>
      <c r="AX40" t="s">
        <v>55</v>
      </c>
    </row>
    <row r="41" spans="1:50" x14ac:dyDescent="0.3">
      <c r="A41">
        <v>38</v>
      </c>
      <c r="B41">
        <v>0</v>
      </c>
      <c r="C41">
        <v>38</v>
      </c>
      <c r="D41" t="s">
        <v>168</v>
      </c>
      <c r="E41" t="s">
        <v>169</v>
      </c>
      <c r="F41" t="s">
        <v>58</v>
      </c>
      <c r="G41" t="s">
        <v>59</v>
      </c>
      <c r="H41" t="s">
        <v>59</v>
      </c>
      <c r="I41">
        <f t="shared" si="0"/>
        <v>2.0176468999125001</v>
      </c>
      <c r="J41" t="s">
        <v>170</v>
      </c>
      <c r="K41" t="s">
        <v>61</v>
      </c>
      <c r="L41">
        <v>38</v>
      </c>
      <c r="M41">
        <v>0</v>
      </c>
      <c r="N41">
        <v>38</v>
      </c>
      <c r="O41">
        <v>0</v>
      </c>
      <c r="P41">
        <v>90.230083500035093</v>
      </c>
      <c r="Z41">
        <v>5</v>
      </c>
      <c r="AA41">
        <v>90.221548900008202</v>
      </c>
      <c r="AB41">
        <v>90.230083500035093</v>
      </c>
      <c r="AC41">
        <v>90.230083500035093</v>
      </c>
      <c r="AD41">
        <v>1.52814000612124E-2</v>
      </c>
      <c r="AE41">
        <v>92.239280100096906</v>
      </c>
      <c r="AF41" t="s">
        <v>168</v>
      </c>
      <c r="AG41" t="s">
        <v>169</v>
      </c>
      <c r="AH41" t="s">
        <v>58</v>
      </c>
      <c r="AI41" t="s">
        <v>59</v>
      </c>
      <c r="AJ41" t="s">
        <v>59</v>
      </c>
      <c r="AK41" t="s">
        <v>170</v>
      </c>
      <c r="AL41" t="s">
        <v>61</v>
      </c>
      <c r="AQ41" t="s">
        <v>51</v>
      </c>
      <c r="AR41">
        <v>1</v>
      </c>
      <c r="AS41" t="s">
        <v>52</v>
      </c>
      <c r="AT41" t="s">
        <v>53</v>
      </c>
      <c r="AV41" t="s">
        <v>54</v>
      </c>
      <c r="AW41">
        <v>59.798777114328601</v>
      </c>
      <c r="AX41" t="s">
        <v>55</v>
      </c>
    </row>
    <row r="42" spans="1:50" x14ac:dyDescent="0.3">
      <c r="A42">
        <v>39</v>
      </c>
      <c r="B42">
        <v>0</v>
      </c>
      <c r="C42">
        <v>39</v>
      </c>
      <c r="D42" t="s">
        <v>171</v>
      </c>
      <c r="E42" t="s">
        <v>172</v>
      </c>
      <c r="F42" t="s">
        <v>58</v>
      </c>
      <c r="G42" t="s">
        <v>59</v>
      </c>
      <c r="H42" t="s">
        <v>59</v>
      </c>
      <c r="I42">
        <f t="shared" si="0"/>
        <v>2.2121941000223102</v>
      </c>
      <c r="J42" t="s">
        <v>173</v>
      </c>
      <c r="K42" t="s">
        <v>61</v>
      </c>
      <c r="L42">
        <v>39</v>
      </c>
      <c r="M42">
        <v>0</v>
      </c>
      <c r="N42">
        <v>39</v>
      </c>
      <c r="O42">
        <v>0</v>
      </c>
      <c r="P42">
        <v>92.266305700060897</v>
      </c>
      <c r="Z42">
        <v>5</v>
      </c>
      <c r="AA42">
        <v>92.259828899986999</v>
      </c>
      <c r="AB42">
        <v>92.266305700060897</v>
      </c>
      <c r="AC42">
        <v>92.266305700060897</v>
      </c>
      <c r="AD42">
        <v>2.0396200008690302E-2</v>
      </c>
      <c r="AE42">
        <v>94.472145000007004</v>
      </c>
      <c r="AF42" t="s">
        <v>171</v>
      </c>
      <c r="AG42" t="s">
        <v>172</v>
      </c>
      <c r="AH42" t="s">
        <v>58</v>
      </c>
      <c r="AI42" t="s">
        <v>59</v>
      </c>
      <c r="AJ42" t="s">
        <v>59</v>
      </c>
      <c r="AK42" t="s">
        <v>173</v>
      </c>
      <c r="AL42" t="s">
        <v>61</v>
      </c>
      <c r="AQ42" t="s">
        <v>51</v>
      </c>
      <c r="AR42">
        <v>1</v>
      </c>
      <c r="AS42" t="s">
        <v>52</v>
      </c>
      <c r="AT42" t="s">
        <v>53</v>
      </c>
      <c r="AV42" t="s">
        <v>54</v>
      </c>
      <c r="AW42">
        <v>59.798777114328601</v>
      </c>
      <c r="AX42" t="s">
        <v>55</v>
      </c>
    </row>
    <row r="43" spans="1:50" x14ac:dyDescent="0.3">
      <c r="A43">
        <v>40</v>
      </c>
      <c r="B43">
        <v>0</v>
      </c>
      <c r="C43">
        <v>40</v>
      </c>
      <c r="D43" t="s">
        <v>174</v>
      </c>
      <c r="E43" t="s">
        <v>175</v>
      </c>
      <c r="F43" t="s">
        <v>58</v>
      </c>
      <c r="G43" t="s">
        <v>59</v>
      </c>
      <c r="H43" t="s">
        <v>59</v>
      </c>
      <c r="I43">
        <f t="shared" si="0"/>
        <v>1.84522560006007</v>
      </c>
      <c r="J43" t="s">
        <v>176</v>
      </c>
      <c r="K43" t="s">
        <v>61</v>
      </c>
      <c r="L43">
        <v>40</v>
      </c>
      <c r="M43">
        <v>0</v>
      </c>
      <c r="N43">
        <v>40</v>
      </c>
      <c r="O43">
        <v>0</v>
      </c>
      <c r="P43">
        <v>94.500828900025198</v>
      </c>
      <c r="Z43">
        <v>5</v>
      </c>
      <c r="AA43">
        <v>94.494437700020995</v>
      </c>
      <c r="AB43">
        <v>94.500828900025198</v>
      </c>
      <c r="AC43">
        <v>94.500828900025198</v>
      </c>
      <c r="AD43">
        <v>2.1982499980367699E-2</v>
      </c>
      <c r="AE43">
        <v>96.339920100057498</v>
      </c>
      <c r="AF43" t="s">
        <v>174</v>
      </c>
      <c r="AG43" t="s">
        <v>175</v>
      </c>
      <c r="AH43" t="s">
        <v>58</v>
      </c>
      <c r="AI43" t="s">
        <v>59</v>
      </c>
      <c r="AJ43" t="s">
        <v>59</v>
      </c>
      <c r="AK43" t="s">
        <v>176</v>
      </c>
      <c r="AL43" t="s">
        <v>61</v>
      </c>
      <c r="AQ43" t="s">
        <v>51</v>
      </c>
      <c r="AR43">
        <v>1</v>
      </c>
      <c r="AS43" t="s">
        <v>52</v>
      </c>
      <c r="AT43" t="s">
        <v>53</v>
      </c>
      <c r="AV43" t="s">
        <v>54</v>
      </c>
      <c r="AW43">
        <v>59.798777114328601</v>
      </c>
      <c r="AX43" t="s">
        <v>55</v>
      </c>
    </row>
    <row r="44" spans="1:50" x14ac:dyDescent="0.3">
      <c r="A44">
        <v>41</v>
      </c>
      <c r="B44">
        <v>0</v>
      </c>
      <c r="C44">
        <v>41</v>
      </c>
      <c r="D44" t="s">
        <v>177</v>
      </c>
      <c r="E44" t="s">
        <v>178</v>
      </c>
      <c r="F44" t="s">
        <v>58</v>
      </c>
      <c r="G44" t="s">
        <v>59</v>
      </c>
      <c r="H44" t="s">
        <v>59</v>
      </c>
      <c r="I44">
        <f t="shared" si="0"/>
        <v>2.0375956000061701</v>
      </c>
      <c r="J44" t="s">
        <v>179</v>
      </c>
      <c r="K44" t="s">
        <v>61</v>
      </c>
      <c r="L44">
        <v>41</v>
      </c>
      <c r="M44">
        <v>0</v>
      </c>
      <c r="N44">
        <v>41</v>
      </c>
      <c r="O44">
        <v>0</v>
      </c>
      <c r="P44">
        <v>96.382073300075703</v>
      </c>
      <c r="Z44">
        <v>5</v>
      </c>
      <c r="AA44">
        <v>96.367974700056905</v>
      </c>
      <c r="AB44">
        <v>96.382073300075703</v>
      </c>
      <c r="AC44">
        <v>96.382073300075703</v>
      </c>
      <c r="AD44">
        <v>2.7728299959562702E-2</v>
      </c>
      <c r="AE44">
        <v>98.405674300040104</v>
      </c>
      <c r="AF44" t="s">
        <v>177</v>
      </c>
      <c r="AG44" t="s">
        <v>178</v>
      </c>
      <c r="AH44" t="s">
        <v>58</v>
      </c>
      <c r="AI44" t="s">
        <v>59</v>
      </c>
      <c r="AJ44" t="s">
        <v>59</v>
      </c>
      <c r="AK44" t="s">
        <v>179</v>
      </c>
      <c r="AL44" t="s">
        <v>61</v>
      </c>
      <c r="AQ44" t="s">
        <v>51</v>
      </c>
      <c r="AR44">
        <v>1</v>
      </c>
      <c r="AS44" t="s">
        <v>52</v>
      </c>
      <c r="AT44" t="s">
        <v>53</v>
      </c>
      <c r="AV44" t="s">
        <v>54</v>
      </c>
      <c r="AW44">
        <v>59.798777114328601</v>
      </c>
      <c r="AX44" t="s">
        <v>55</v>
      </c>
    </row>
    <row r="45" spans="1:50" x14ac:dyDescent="0.3">
      <c r="A45">
        <v>42</v>
      </c>
      <c r="B45">
        <v>0</v>
      </c>
      <c r="C45">
        <v>42</v>
      </c>
      <c r="D45" t="s">
        <v>180</v>
      </c>
      <c r="E45" t="s">
        <v>181</v>
      </c>
      <c r="F45" t="s">
        <v>58</v>
      </c>
      <c r="G45" t="s">
        <v>59</v>
      </c>
      <c r="H45" t="s">
        <v>59</v>
      </c>
      <c r="I45">
        <f t="shared" si="0"/>
        <v>2.47238159994594</v>
      </c>
      <c r="J45" t="s">
        <v>182</v>
      </c>
      <c r="K45" t="s">
        <v>61</v>
      </c>
      <c r="L45">
        <v>42</v>
      </c>
      <c r="M45">
        <v>0</v>
      </c>
      <c r="N45">
        <v>42</v>
      </c>
      <c r="O45">
        <v>0</v>
      </c>
      <c r="P45">
        <v>98.467193100019301</v>
      </c>
      <c r="Z45">
        <v>10</v>
      </c>
      <c r="AA45">
        <v>98.449332199990707</v>
      </c>
      <c r="AB45">
        <v>98.467193100019301</v>
      </c>
      <c r="AC45">
        <v>98.467193100019301</v>
      </c>
      <c r="AD45">
        <v>4.3425200041383498E-2</v>
      </c>
      <c r="AE45">
        <v>100.921841700095</v>
      </c>
      <c r="AF45" t="s">
        <v>180</v>
      </c>
      <c r="AG45" t="s">
        <v>181</v>
      </c>
      <c r="AH45" t="s">
        <v>58</v>
      </c>
      <c r="AI45" t="s">
        <v>59</v>
      </c>
      <c r="AJ45" t="s">
        <v>59</v>
      </c>
      <c r="AK45" t="s">
        <v>182</v>
      </c>
      <c r="AL45" t="s">
        <v>61</v>
      </c>
      <c r="AQ45" t="s">
        <v>51</v>
      </c>
      <c r="AR45">
        <v>1</v>
      </c>
      <c r="AS45" t="s">
        <v>52</v>
      </c>
      <c r="AT45" t="s">
        <v>53</v>
      </c>
      <c r="AV45" t="s">
        <v>54</v>
      </c>
      <c r="AW45">
        <v>59.798777114328601</v>
      </c>
      <c r="AX45" t="s">
        <v>55</v>
      </c>
    </row>
    <row r="46" spans="1:50" x14ac:dyDescent="0.3">
      <c r="A46">
        <v>43</v>
      </c>
      <c r="B46">
        <v>0</v>
      </c>
      <c r="C46">
        <v>43</v>
      </c>
      <c r="D46" t="s">
        <v>183</v>
      </c>
      <c r="E46" t="s">
        <v>184</v>
      </c>
      <c r="F46" t="s">
        <v>58</v>
      </c>
      <c r="G46" t="s">
        <v>59</v>
      </c>
      <c r="H46" t="s">
        <v>59</v>
      </c>
      <c r="I46">
        <f t="shared" si="0"/>
        <v>2.0458067000144999</v>
      </c>
      <c r="J46" t="s">
        <v>185</v>
      </c>
      <c r="K46" t="s">
        <v>61</v>
      </c>
      <c r="L46">
        <v>43</v>
      </c>
      <c r="M46">
        <v>0</v>
      </c>
      <c r="N46">
        <v>43</v>
      </c>
      <c r="O46">
        <v>0</v>
      </c>
      <c r="P46">
        <v>100.953223900054</v>
      </c>
      <c r="Z46">
        <v>5</v>
      </c>
      <c r="AA46">
        <v>100.94256720004999</v>
      </c>
      <c r="AB46">
        <v>100.953223900054</v>
      </c>
      <c r="AC46">
        <v>100.953223900054</v>
      </c>
      <c r="AD46">
        <v>2.0474800025112899E-2</v>
      </c>
      <c r="AE46">
        <v>102.98844220000301</v>
      </c>
      <c r="AF46" t="s">
        <v>183</v>
      </c>
      <c r="AG46" t="s">
        <v>184</v>
      </c>
      <c r="AH46" t="s">
        <v>58</v>
      </c>
      <c r="AI46" t="s">
        <v>59</v>
      </c>
      <c r="AJ46" t="s">
        <v>59</v>
      </c>
      <c r="AK46" t="s">
        <v>185</v>
      </c>
      <c r="AL46" t="s">
        <v>61</v>
      </c>
      <c r="AQ46" t="s">
        <v>51</v>
      </c>
      <c r="AR46">
        <v>1</v>
      </c>
      <c r="AS46" t="s">
        <v>52</v>
      </c>
      <c r="AT46" t="s">
        <v>53</v>
      </c>
      <c r="AV46" t="s">
        <v>54</v>
      </c>
      <c r="AW46">
        <v>59.798777114328601</v>
      </c>
      <c r="AX46" t="s">
        <v>55</v>
      </c>
    </row>
    <row r="47" spans="1:50" x14ac:dyDescent="0.3">
      <c r="A47">
        <v>44</v>
      </c>
      <c r="B47">
        <v>0</v>
      </c>
      <c r="C47">
        <v>44</v>
      </c>
      <c r="D47" t="s">
        <v>186</v>
      </c>
      <c r="E47" t="s">
        <v>187</v>
      </c>
      <c r="F47" t="s">
        <v>58</v>
      </c>
      <c r="G47" t="s">
        <v>59</v>
      </c>
      <c r="H47" t="s">
        <v>59</v>
      </c>
      <c r="I47">
        <f t="shared" si="0"/>
        <v>2.0258571000304002</v>
      </c>
      <c r="J47" t="s">
        <v>188</v>
      </c>
      <c r="K47" t="s">
        <v>61</v>
      </c>
      <c r="L47">
        <v>44</v>
      </c>
      <c r="M47">
        <v>0</v>
      </c>
      <c r="N47">
        <v>44</v>
      </c>
      <c r="O47">
        <v>0</v>
      </c>
      <c r="P47">
        <v>103.021913800039</v>
      </c>
      <c r="Z47">
        <v>5</v>
      </c>
      <c r="AA47">
        <v>103.01262500009</v>
      </c>
      <c r="AB47">
        <v>103.021913800039</v>
      </c>
      <c r="AC47">
        <v>103.021913800039</v>
      </c>
      <c r="AD47">
        <v>2.4023800040595199E-2</v>
      </c>
      <c r="AE47">
        <v>105.03858990001</v>
      </c>
      <c r="AF47" t="s">
        <v>186</v>
      </c>
      <c r="AG47" t="s">
        <v>187</v>
      </c>
      <c r="AH47" t="s">
        <v>58</v>
      </c>
      <c r="AI47" t="s">
        <v>59</v>
      </c>
      <c r="AJ47" t="s">
        <v>59</v>
      </c>
      <c r="AK47" t="s">
        <v>188</v>
      </c>
      <c r="AL47" t="s">
        <v>61</v>
      </c>
      <c r="AQ47" t="s">
        <v>51</v>
      </c>
      <c r="AR47">
        <v>1</v>
      </c>
      <c r="AS47" t="s">
        <v>52</v>
      </c>
      <c r="AT47" t="s">
        <v>53</v>
      </c>
      <c r="AV47" t="s">
        <v>54</v>
      </c>
      <c r="AW47">
        <v>59.798777114328601</v>
      </c>
      <c r="AX47" t="s">
        <v>55</v>
      </c>
    </row>
    <row r="48" spans="1:50" x14ac:dyDescent="0.3">
      <c r="A48">
        <v>45</v>
      </c>
      <c r="B48">
        <v>0</v>
      </c>
      <c r="C48">
        <v>45</v>
      </c>
      <c r="D48" t="s">
        <v>189</v>
      </c>
      <c r="E48" t="s">
        <v>190</v>
      </c>
      <c r="F48" t="s">
        <v>58</v>
      </c>
      <c r="G48" t="s">
        <v>59</v>
      </c>
      <c r="H48" t="s">
        <v>59</v>
      </c>
      <c r="I48">
        <f t="shared" si="0"/>
        <v>2.0205916999839202</v>
      </c>
      <c r="J48" t="s">
        <v>191</v>
      </c>
      <c r="K48" t="s">
        <v>61</v>
      </c>
      <c r="L48">
        <v>45</v>
      </c>
      <c r="M48">
        <v>0</v>
      </c>
      <c r="N48">
        <v>45</v>
      </c>
      <c r="O48">
        <v>0</v>
      </c>
      <c r="P48">
        <v>105.078035000013</v>
      </c>
      <c r="Z48">
        <v>10</v>
      </c>
      <c r="AA48">
        <v>105.06719110009701</v>
      </c>
      <c r="AB48">
        <v>105.078035000013</v>
      </c>
      <c r="AC48">
        <v>105.078035000013</v>
      </c>
      <c r="AD48">
        <v>2.8400200069881899E-2</v>
      </c>
      <c r="AE48">
        <v>107.087852100026</v>
      </c>
      <c r="AF48" t="s">
        <v>189</v>
      </c>
      <c r="AG48" t="s">
        <v>190</v>
      </c>
      <c r="AH48" t="s">
        <v>58</v>
      </c>
      <c r="AI48" t="s">
        <v>59</v>
      </c>
      <c r="AJ48" t="s">
        <v>59</v>
      </c>
      <c r="AK48" t="s">
        <v>191</v>
      </c>
      <c r="AL48" t="s">
        <v>61</v>
      </c>
      <c r="AQ48" t="s">
        <v>51</v>
      </c>
      <c r="AR48">
        <v>1</v>
      </c>
      <c r="AS48" t="s">
        <v>52</v>
      </c>
      <c r="AT48" t="s">
        <v>53</v>
      </c>
      <c r="AV48" t="s">
        <v>54</v>
      </c>
      <c r="AW48">
        <v>59.798777114328601</v>
      </c>
      <c r="AX48" t="s">
        <v>55</v>
      </c>
    </row>
    <row r="49" spans="1:50" x14ac:dyDescent="0.3">
      <c r="A49">
        <v>46</v>
      </c>
      <c r="B49">
        <v>0</v>
      </c>
      <c r="C49">
        <v>46</v>
      </c>
      <c r="D49" t="s">
        <v>192</v>
      </c>
      <c r="E49" t="s">
        <v>193</v>
      </c>
      <c r="F49" t="s">
        <v>58</v>
      </c>
      <c r="G49" t="s">
        <v>59</v>
      </c>
      <c r="H49" t="s">
        <v>59</v>
      </c>
      <c r="I49">
        <f t="shared" si="0"/>
        <v>2.09060850006062</v>
      </c>
      <c r="J49" t="s">
        <v>194</v>
      </c>
      <c r="K49" t="s">
        <v>61</v>
      </c>
      <c r="L49">
        <v>46</v>
      </c>
      <c r="M49">
        <v>0</v>
      </c>
      <c r="N49">
        <v>46</v>
      </c>
      <c r="O49">
        <v>0</v>
      </c>
      <c r="P49">
        <v>107.129282500012</v>
      </c>
      <c r="Z49">
        <v>10</v>
      </c>
      <c r="AA49">
        <v>107.115019300021</v>
      </c>
      <c r="AB49">
        <v>107.129282500012</v>
      </c>
      <c r="AC49">
        <v>107.129282500012</v>
      </c>
      <c r="AD49">
        <v>2.6976399938575899E-2</v>
      </c>
      <c r="AE49">
        <v>109.20577410003099</v>
      </c>
      <c r="AF49" t="s">
        <v>192</v>
      </c>
      <c r="AG49" t="s">
        <v>193</v>
      </c>
      <c r="AH49" t="s">
        <v>58</v>
      </c>
      <c r="AI49" t="s">
        <v>59</v>
      </c>
      <c r="AJ49" t="s">
        <v>59</v>
      </c>
      <c r="AK49" t="s">
        <v>194</v>
      </c>
      <c r="AL49" t="s">
        <v>61</v>
      </c>
      <c r="AQ49" t="s">
        <v>51</v>
      </c>
      <c r="AR49">
        <v>1</v>
      </c>
      <c r="AS49" t="s">
        <v>52</v>
      </c>
      <c r="AT49" t="s">
        <v>53</v>
      </c>
      <c r="AV49" t="s">
        <v>54</v>
      </c>
      <c r="AW49">
        <v>59.798777114328601</v>
      </c>
      <c r="AX49" t="s">
        <v>55</v>
      </c>
    </row>
    <row r="50" spans="1:50" x14ac:dyDescent="0.3">
      <c r="A50">
        <v>47</v>
      </c>
      <c r="B50">
        <v>0</v>
      </c>
      <c r="C50">
        <v>47</v>
      </c>
      <c r="D50" t="s">
        <v>195</v>
      </c>
      <c r="E50" t="s">
        <v>181</v>
      </c>
      <c r="F50" t="s">
        <v>58</v>
      </c>
      <c r="G50" t="s">
        <v>59</v>
      </c>
      <c r="H50" t="s">
        <v>59</v>
      </c>
      <c r="I50">
        <f t="shared" si="0"/>
        <v>2.1629919999977498</v>
      </c>
      <c r="J50" t="s">
        <v>196</v>
      </c>
      <c r="K50" t="s">
        <v>61</v>
      </c>
      <c r="L50">
        <v>47</v>
      </c>
      <c r="M50">
        <v>0</v>
      </c>
      <c r="N50">
        <v>47</v>
      </c>
      <c r="O50">
        <v>0</v>
      </c>
      <c r="P50">
        <v>109.233022900065</v>
      </c>
      <c r="Z50">
        <v>5</v>
      </c>
      <c r="AA50">
        <v>109.226149299996</v>
      </c>
      <c r="AB50">
        <v>109.233022900065</v>
      </c>
      <c r="AC50">
        <v>109.233022900065</v>
      </c>
      <c r="AD50">
        <v>2.0054299966432099E-2</v>
      </c>
      <c r="AE50">
        <v>111.38924590009201</v>
      </c>
      <c r="AF50" t="s">
        <v>195</v>
      </c>
      <c r="AG50" t="s">
        <v>181</v>
      </c>
      <c r="AH50" t="s">
        <v>58</v>
      </c>
      <c r="AI50" t="s">
        <v>59</v>
      </c>
      <c r="AJ50" t="s">
        <v>59</v>
      </c>
      <c r="AK50" t="s">
        <v>196</v>
      </c>
      <c r="AL50" t="s">
        <v>61</v>
      </c>
      <c r="AQ50" t="s">
        <v>51</v>
      </c>
      <c r="AR50">
        <v>1</v>
      </c>
      <c r="AS50" t="s">
        <v>52</v>
      </c>
      <c r="AT50" t="s">
        <v>53</v>
      </c>
      <c r="AV50" t="s">
        <v>54</v>
      </c>
      <c r="AW50">
        <v>59.798777114328601</v>
      </c>
      <c r="AX50" t="s">
        <v>55</v>
      </c>
    </row>
    <row r="51" spans="1:50" x14ac:dyDescent="0.3">
      <c r="A51">
        <v>48</v>
      </c>
      <c r="B51">
        <v>0</v>
      </c>
      <c r="C51">
        <v>48</v>
      </c>
      <c r="D51" t="s">
        <v>197</v>
      </c>
      <c r="E51" t="s">
        <v>198</v>
      </c>
      <c r="F51" t="s">
        <v>58</v>
      </c>
      <c r="G51" t="s">
        <v>59</v>
      </c>
      <c r="H51" t="s">
        <v>59</v>
      </c>
      <c r="I51">
        <f t="shared" si="0"/>
        <v>1.9796028999844499</v>
      </c>
      <c r="J51" t="s">
        <v>199</v>
      </c>
      <c r="K51" t="s">
        <v>61</v>
      </c>
      <c r="L51">
        <v>48</v>
      </c>
      <c r="M51">
        <v>0</v>
      </c>
      <c r="N51">
        <v>48</v>
      </c>
      <c r="O51">
        <v>0</v>
      </c>
      <c r="P51">
        <v>111.419502300093</v>
      </c>
      <c r="Z51">
        <v>5</v>
      </c>
      <c r="AA51">
        <v>111.408899300033</v>
      </c>
      <c r="AB51">
        <v>111.419502300093</v>
      </c>
      <c r="AC51">
        <v>111.419502300093</v>
      </c>
      <c r="AD51">
        <v>1.9442399963736499E-2</v>
      </c>
      <c r="AE51">
        <v>113.38862360001001</v>
      </c>
      <c r="AF51" t="s">
        <v>197</v>
      </c>
      <c r="AG51" t="s">
        <v>198</v>
      </c>
      <c r="AH51" t="s">
        <v>58</v>
      </c>
      <c r="AI51" t="s">
        <v>59</v>
      </c>
      <c r="AJ51" t="s">
        <v>59</v>
      </c>
      <c r="AK51" t="s">
        <v>199</v>
      </c>
      <c r="AL51" t="s">
        <v>61</v>
      </c>
      <c r="AQ51" t="s">
        <v>51</v>
      </c>
      <c r="AR51">
        <v>1</v>
      </c>
      <c r="AS51" t="s">
        <v>52</v>
      </c>
      <c r="AT51" t="s">
        <v>53</v>
      </c>
      <c r="AV51" t="s">
        <v>54</v>
      </c>
      <c r="AW51">
        <v>59.798777114328601</v>
      </c>
      <c r="AX51" t="s">
        <v>55</v>
      </c>
    </row>
    <row r="52" spans="1:50" x14ac:dyDescent="0.3">
      <c r="A52">
        <v>49</v>
      </c>
      <c r="B52">
        <v>0</v>
      </c>
      <c r="C52">
        <v>49</v>
      </c>
      <c r="D52" t="s">
        <v>200</v>
      </c>
      <c r="E52" t="s">
        <v>201</v>
      </c>
      <c r="F52" t="s">
        <v>58</v>
      </c>
      <c r="G52" t="s">
        <v>59</v>
      </c>
      <c r="H52" t="s">
        <v>59</v>
      </c>
      <c r="I52">
        <f t="shared" si="0"/>
        <v>1.8683707000454799</v>
      </c>
      <c r="J52" t="s">
        <v>202</v>
      </c>
      <c r="K52" t="s">
        <v>61</v>
      </c>
      <c r="L52">
        <v>49</v>
      </c>
      <c r="M52">
        <v>0</v>
      </c>
      <c r="N52">
        <v>49</v>
      </c>
      <c r="O52">
        <v>0</v>
      </c>
      <c r="P52">
        <v>113.435127300093</v>
      </c>
      <c r="Z52">
        <v>5</v>
      </c>
      <c r="AA52">
        <v>113.418848200002</v>
      </c>
      <c r="AB52">
        <v>113.435127300093</v>
      </c>
      <c r="AC52">
        <v>113.435127300093</v>
      </c>
      <c r="AD52">
        <v>3.0018499935977098E-2</v>
      </c>
      <c r="AE52">
        <v>115.28727980004599</v>
      </c>
      <c r="AF52" t="s">
        <v>200</v>
      </c>
      <c r="AG52" t="s">
        <v>201</v>
      </c>
      <c r="AH52" t="s">
        <v>58</v>
      </c>
      <c r="AI52" t="s">
        <v>59</v>
      </c>
      <c r="AJ52" t="s">
        <v>59</v>
      </c>
      <c r="AK52" t="s">
        <v>202</v>
      </c>
      <c r="AL52" t="s">
        <v>61</v>
      </c>
      <c r="AQ52" t="s">
        <v>51</v>
      </c>
      <c r="AR52">
        <v>1</v>
      </c>
      <c r="AS52" t="s">
        <v>52</v>
      </c>
      <c r="AT52" t="s">
        <v>53</v>
      </c>
      <c r="AV52" t="s">
        <v>54</v>
      </c>
      <c r="AW52">
        <v>59.798777114328601</v>
      </c>
      <c r="AX52" t="s">
        <v>55</v>
      </c>
    </row>
    <row r="53" spans="1:50" x14ac:dyDescent="0.3">
      <c r="A53">
        <v>50</v>
      </c>
      <c r="B53">
        <v>0</v>
      </c>
      <c r="C53">
        <v>50</v>
      </c>
      <c r="D53" t="s">
        <v>203</v>
      </c>
      <c r="E53" t="s">
        <v>204</v>
      </c>
      <c r="F53" t="s">
        <v>58</v>
      </c>
      <c r="G53" t="s">
        <v>59</v>
      </c>
      <c r="H53" t="s">
        <v>59</v>
      </c>
      <c r="I53">
        <f t="shared" si="0"/>
        <v>1.9059310000156899</v>
      </c>
      <c r="J53" t="s">
        <v>205</v>
      </c>
      <c r="K53" t="s">
        <v>61</v>
      </c>
      <c r="L53">
        <v>50</v>
      </c>
      <c r="M53">
        <v>0</v>
      </c>
      <c r="N53">
        <v>50</v>
      </c>
      <c r="O53">
        <v>0</v>
      </c>
      <c r="P53">
        <v>115.327039900003</v>
      </c>
      <c r="Z53">
        <v>5</v>
      </c>
      <c r="AA53">
        <v>115.314680700073</v>
      </c>
      <c r="AB53">
        <v>115.327039900003</v>
      </c>
      <c r="AC53">
        <v>115.327039900003</v>
      </c>
      <c r="AD53">
        <v>2.7244400000199599E-2</v>
      </c>
      <c r="AE53">
        <v>117.220724500017</v>
      </c>
      <c r="AF53" t="s">
        <v>203</v>
      </c>
      <c r="AG53" t="s">
        <v>204</v>
      </c>
      <c r="AH53" t="s">
        <v>58</v>
      </c>
      <c r="AI53" t="s">
        <v>59</v>
      </c>
      <c r="AJ53" t="s">
        <v>59</v>
      </c>
      <c r="AK53" t="s">
        <v>205</v>
      </c>
      <c r="AL53" t="s">
        <v>61</v>
      </c>
      <c r="AQ53" t="s">
        <v>51</v>
      </c>
      <c r="AR53">
        <v>1</v>
      </c>
      <c r="AS53" t="s">
        <v>52</v>
      </c>
      <c r="AT53" t="s">
        <v>53</v>
      </c>
      <c r="AV53" t="s">
        <v>54</v>
      </c>
      <c r="AW53">
        <v>59.798777114328601</v>
      </c>
      <c r="AX53" t="s">
        <v>55</v>
      </c>
    </row>
    <row r="54" spans="1:50" x14ac:dyDescent="0.3">
      <c r="A54">
        <v>51</v>
      </c>
      <c r="B54">
        <v>0</v>
      </c>
      <c r="C54">
        <v>51</v>
      </c>
      <c r="D54" t="s">
        <v>206</v>
      </c>
      <c r="E54" t="s">
        <v>207</v>
      </c>
      <c r="F54" t="s">
        <v>58</v>
      </c>
      <c r="G54" t="s">
        <v>59</v>
      </c>
      <c r="H54" t="s">
        <v>59</v>
      </c>
      <c r="I54">
        <f t="shared" si="0"/>
        <v>2.1966131000081002</v>
      </c>
      <c r="J54" t="s">
        <v>208</v>
      </c>
      <c r="K54" t="s">
        <v>61</v>
      </c>
      <c r="L54">
        <v>51</v>
      </c>
      <c r="M54">
        <v>0</v>
      </c>
      <c r="N54">
        <v>51</v>
      </c>
      <c r="O54">
        <v>0</v>
      </c>
      <c r="P54">
        <v>117.27354459999999</v>
      </c>
      <c r="Z54">
        <v>10</v>
      </c>
      <c r="AA54">
        <v>117.258077600039</v>
      </c>
      <c r="AB54">
        <v>117.27354459999999</v>
      </c>
      <c r="AC54">
        <v>117.27354459999999</v>
      </c>
      <c r="AD54">
        <v>3.7118799984455102E-2</v>
      </c>
      <c r="AE54">
        <v>119.45479270000899</v>
      </c>
      <c r="AF54" t="s">
        <v>206</v>
      </c>
      <c r="AG54" t="s">
        <v>207</v>
      </c>
      <c r="AH54" t="s">
        <v>58</v>
      </c>
      <c r="AI54" t="s">
        <v>59</v>
      </c>
      <c r="AJ54" t="s">
        <v>59</v>
      </c>
      <c r="AK54" t="s">
        <v>208</v>
      </c>
      <c r="AL54" t="s">
        <v>61</v>
      </c>
      <c r="AQ54" t="s">
        <v>51</v>
      </c>
      <c r="AR54">
        <v>1</v>
      </c>
      <c r="AS54" t="s">
        <v>52</v>
      </c>
      <c r="AT54" t="s">
        <v>53</v>
      </c>
      <c r="AV54" t="s">
        <v>54</v>
      </c>
      <c r="AW54">
        <v>59.798777114328601</v>
      </c>
      <c r="AX54" t="s">
        <v>55</v>
      </c>
    </row>
    <row r="55" spans="1:50" x14ac:dyDescent="0.3">
      <c r="A55">
        <v>52</v>
      </c>
      <c r="B55">
        <v>0</v>
      </c>
      <c r="C55">
        <v>52</v>
      </c>
      <c r="D55" t="s">
        <v>209</v>
      </c>
      <c r="E55" t="s">
        <v>210</v>
      </c>
      <c r="F55" t="s">
        <v>58</v>
      </c>
      <c r="G55" t="s">
        <v>59</v>
      </c>
      <c r="H55" t="s">
        <v>59</v>
      </c>
      <c r="I55">
        <f t="shared" si="0"/>
        <v>2.09070649999193</v>
      </c>
      <c r="J55" t="s">
        <v>211</v>
      </c>
      <c r="K55" t="s">
        <v>61</v>
      </c>
      <c r="L55">
        <v>52</v>
      </c>
      <c r="M55">
        <v>0</v>
      </c>
      <c r="N55">
        <v>52</v>
      </c>
      <c r="O55">
        <v>0</v>
      </c>
      <c r="P55">
        <v>119.490650300052</v>
      </c>
      <c r="Z55">
        <v>5</v>
      </c>
      <c r="AA55">
        <v>119.480706000002</v>
      </c>
      <c r="AB55">
        <v>119.490650300052</v>
      </c>
      <c r="AC55">
        <v>119.490650300052</v>
      </c>
      <c r="AD55">
        <v>2.5668299989774799E-2</v>
      </c>
      <c r="AE55">
        <v>121.571565699996</v>
      </c>
      <c r="AF55" t="s">
        <v>209</v>
      </c>
      <c r="AG55" t="s">
        <v>210</v>
      </c>
      <c r="AH55" t="s">
        <v>58</v>
      </c>
      <c r="AI55" t="s">
        <v>59</v>
      </c>
      <c r="AJ55" t="s">
        <v>59</v>
      </c>
      <c r="AK55" t="s">
        <v>211</v>
      </c>
      <c r="AL55" t="s">
        <v>61</v>
      </c>
      <c r="AQ55" t="s">
        <v>51</v>
      </c>
      <c r="AR55">
        <v>1</v>
      </c>
      <c r="AS55" t="s">
        <v>52</v>
      </c>
      <c r="AT55" t="s">
        <v>53</v>
      </c>
      <c r="AV55" t="s">
        <v>54</v>
      </c>
      <c r="AW55">
        <v>59.798777114328601</v>
      </c>
      <c r="AX55" t="s">
        <v>55</v>
      </c>
    </row>
    <row r="56" spans="1:50" x14ac:dyDescent="0.3">
      <c r="A56">
        <v>53</v>
      </c>
      <c r="B56">
        <v>0</v>
      </c>
      <c r="C56">
        <v>53</v>
      </c>
      <c r="D56" t="s">
        <v>212</v>
      </c>
      <c r="E56" t="s">
        <v>213</v>
      </c>
      <c r="F56" t="s">
        <v>58</v>
      </c>
      <c r="G56" t="s">
        <v>59</v>
      </c>
      <c r="H56" t="s">
        <v>59</v>
      </c>
      <c r="I56">
        <f t="shared" si="0"/>
        <v>1.8898556999629299</v>
      </c>
      <c r="J56" t="s">
        <v>214</v>
      </c>
      <c r="K56" t="s">
        <v>61</v>
      </c>
      <c r="L56">
        <v>53</v>
      </c>
      <c r="M56">
        <v>0</v>
      </c>
      <c r="N56">
        <v>53</v>
      </c>
      <c r="O56">
        <v>0</v>
      </c>
      <c r="P56">
        <v>121.62519610009601</v>
      </c>
      <c r="Z56">
        <v>10</v>
      </c>
      <c r="AA56">
        <v>121.613434000057</v>
      </c>
      <c r="AB56">
        <v>121.62519610009601</v>
      </c>
      <c r="AC56">
        <v>121.62519610009601</v>
      </c>
      <c r="AD56">
        <v>4.1658999980427297E-2</v>
      </c>
      <c r="AE56">
        <v>123.503394500003</v>
      </c>
      <c r="AF56" t="s">
        <v>212</v>
      </c>
      <c r="AG56" t="s">
        <v>213</v>
      </c>
      <c r="AH56" t="s">
        <v>58</v>
      </c>
      <c r="AI56" t="s">
        <v>59</v>
      </c>
      <c r="AJ56" t="s">
        <v>59</v>
      </c>
      <c r="AK56" t="s">
        <v>214</v>
      </c>
      <c r="AL56" t="s">
        <v>61</v>
      </c>
      <c r="AQ56" t="s">
        <v>51</v>
      </c>
      <c r="AR56">
        <v>1</v>
      </c>
      <c r="AS56" t="s">
        <v>52</v>
      </c>
      <c r="AT56" t="s">
        <v>53</v>
      </c>
      <c r="AV56" t="s">
        <v>54</v>
      </c>
      <c r="AW56">
        <v>59.798777114328601</v>
      </c>
      <c r="AX56" t="s">
        <v>55</v>
      </c>
    </row>
    <row r="57" spans="1:50" x14ac:dyDescent="0.3">
      <c r="A57">
        <v>54</v>
      </c>
      <c r="B57">
        <v>0</v>
      </c>
      <c r="C57">
        <v>54</v>
      </c>
      <c r="D57" t="s">
        <v>215</v>
      </c>
      <c r="E57" t="s">
        <v>216</v>
      </c>
      <c r="F57" t="s">
        <v>58</v>
      </c>
      <c r="G57" t="s">
        <v>59</v>
      </c>
      <c r="H57" t="s">
        <v>59</v>
      </c>
      <c r="I57">
        <f t="shared" si="0"/>
        <v>2.35171239997725</v>
      </c>
      <c r="J57" t="s">
        <v>217</v>
      </c>
      <c r="K57" t="s">
        <v>61</v>
      </c>
      <c r="L57">
        <v>54</v>
      </c>
      <c r="M57">
        <v>0</v>
      </c>
      <c r="N57">
        <v>54</v>
      </c>
      <c r="O57">
        <v>0</v>
      </c>
      <c r="P57">
        <v>123.525501299998</v>
      </c>
      <c r="Z57">
        <v>5</v>
      </c>
      <c r="AA57">
        <v>123.519095499999</v>
      </c>
      <c r="AB57">
        <v>123.525501299998</v>
      </c>
      <c r="AC57">
        <v>123.525501299998</v>
      </c>
      <c r="AD57">
        <v>1.54326000483706E-2</v>
      </c>
      <c r="AE57">
        <v>125.870933900005</v>
      </c>
      <c r="AF57" t="s">
        <v>215</v>
      </c>
      <c r="AG57" t="s">
        <v>216</v>
      </c>
      <c r="AH57" t="s">
        <v>58</v>
      </c>
      <c r="AI57" t="s">
        <v>59</v>
      </c>
      <c r="AJ57" t="s">
        <v>59</v>
      </c>
      <c r="AK57" t="s">
        <v>217</v>
      </c>
      <c r="AL57" t="s">
        <v>61</v>
      </c>
      <c r="AQ57" t="s">
        <v>51</v>
      </c>
      <c r="AR57">
        <v>1</v>
      </c>
      <c r="AS57" t="s">
        <v>52</v>
      </c>
      <c r="AT57" t="s">
        <v>53</v>
      </c>
      <c r="AV57" t="s">
        <v>54</v>
      </c>
      <c r="AW57">
        <v>59.798777114328601</v>
      </c>
      <c r="AX57" t="s">
        <v>55</v>
      </c>
    </row>
    <row r="58" spans="1:50" x14ac:dyDescent="0.3">
      <c r="A58">
        <v>55</v>
      </c>
      <c r="B58">
        <v>0</v>
      </c>
      <c r="C58">
        <v>55</v>
      </c>
      <c r="D58" t="s">
        <v>218</v>
      </c>
      <c r="E58" t="s">
        <v>219</v>
      </c>
      <c r="F58" t="s">
        <v>58</v>
      </c>
      <c r="G58" t="s">
        <v>59</v>
      </c>
      <c r="H58" t="s">
        <v>59</v>
      </c>
      <c r="I58">
        <f t="shared" si="0"/>
        <v>3.4570214999839601</v>
      </c>
      <c r="J58" t="s">
        <v>220</v>
      </c>
      <c r="K58" t="s">
        <v>61</v>
      </c>
      <c r="L58">
        <v>55</v>
      </c>
      <c r="M58">
        <v>0</v>
      </c>
      <c r="N58">
        <v>55</v>
      </c>
      <c r="O58">
        <v>0</v>
      </c>
      <c r="P58">
        <v>125.90457520005199</v>
      </c>
      <c r="Z58">
        <v>5</v>
      </c>
      <c r="AA58">
        <v>125.895838299999</v>
      </c>
      <c r="AB58">
        <v>125.90457520005199</v>
      </c>
      <c r="AC58">
        <v>125.90457520005199</v>
      </c>
      <c r="AD58">
        <v>2.4671399965882301E-2</v>
      </c>
      <c r="AE58">
        <v>129.352929100045</v>
      </c>
      <c r="AF58" t="s">
        <v>218</v>
      </c>
      <c r="AG58" t="s">
        <v>219</v>
      </c>
      <c r="AH58" t="s">
        <v>58</v>
      </c>
      <c r="AI58" t="s">
        <v>59</v>
      </c>
      <c r="AJ58" t="s">
        <v>59</v>
      </c>
      <c r="AK58" t="s">
        <v>220</v>
      </c>
      <c r="AL58" t="s">
        <v>61</v>
      </c>
      <c r="AQ58" t="s">
        <v>51</v>
      </c>
      <c r="AR58">
        <v>1</v>
      </c>
      <c r="AS58" t="s">
        <v>52</v>
      </c>
      <c r="AT58" t="s">
        <v>53</v>
      </c>
      <c r="AV58" t="s">
        <v>54</v>
      </c>
      <c r="AW58">
        <v>59.798777114328601</v>
      </c>
      <c r="AX58" t="s">
        <v>55</v>
      </c>
    </row>
    <row r="59" spans="1:50" x14ac:dyDescent="0.3">
      <c r="A59">
        <v>56</v>
      </c>
      <c r="B59">
        <v>0</v>
      </c>
      <c r="C59">
        <v>56</v>
      </c>
      <c r="D59" t="s">
        <v>221</v>
      </c>
      <c r="E59" t="s">
        <v>222</v>
      </c>
      <c r="F59" t="s">
        <v>58</v>
      </c>
      <c r="G59" t="s">
        <v>59</v>
      </c>
      <c r="H59" t="s">
        <v>59</v>
      </c>
      <c r="I59">
        <f t="shared" si="0"/>
        <v>2.5006244999822198</v>
      </c>
      <c r="J59" t="s">
        <v>223</v>
      </c>
      <c r="K59" t="s">
        <v>61</v>
      </c>
      <c r="L59">
        <v>56</v>
      </c>
      <c r="M59">
        <v>0</v>
      </c>
      <c r="N59">
        <v>56</v>
      </c>
      <c r="O59">
        <v>0</v>
      </c>
      <c r="P59">
        <v>129.40606150007801</v>
      </c>
      <c r="Z59">
        <v>10</v>
      </c>
      <c r="AA59">
        <v>129.38749810005501</v>
      </c>
      <c r="AB59">
        <v>129.40606150007801</v>
      </c>
      <c r="AC59">
        <v>129.40606150007801</v>
      </c>
      <c r="AD59">
        <v>3.4461200004443499E-2</v>
      </c>
      <c r="AE59">
        <v>131.888274900033</v>
      </c>
      <c r="AF59" t="s">
        <v>221</v>
      </c>
      <c r="AG59" t="s">
        <v>222</v>
      </c>
      <c r="AH59" t="s">
        <v>58</v>
      </c>
      <c r="AI59" t="s">
        <v>59</v>
      </c>
      <c r="AJ59" t="s">
        <v>59</v>
      </c>
      <c r="AK59" t="s">
        <v>223</v>
      </c>
      <c r="AL59" t="s">
        <v>61</v>
      </c>
      <c r="AQ59" t="s">
        <v>51</v>
      </c>
      <c r="AR59">
        <v>1</v>
      </c>
      <c r="AS59" t="s">
        <v>52</v>
      </c>
      <c r="AT59" t="s">
        <v>53</v>
      </c>
      <c r="AV59" t="s">
        <v>54</v>
      </c>
      <c r="AW59">
        <v>59.798777114328601</v>
      </c>
      <c r="AX59" t="s">
        <v>55</v>
      </c>
    </row>
    <row r="60" spans="1:50" x14ac:dyDescent="0.3">
      <c r="A60">
        <v>57</v>
      </c>
      <c r="B60">
        <v>0</v>
      </c>
      <c r="C60">
        <v>57</v>
      </c>
      <c r="D60" t="s">
        <v>224</v>
      </c>
      <c r="E60" t="s">
        <v>225</v>
      </c>
      <c r="F60" t="s">
        <v>58</v>
      </c>
      <c r="G60" t="s">
        <v>59</v>
      </c>
      <c r="H60" t="s">
        <v>59</v>
      </c>
      <c r="I60">
        <f t="shared" si="0"/>
        <v>2.5729580000042902</v>
      </c>
      <c r="J60" t="s">
        <v>226</v>
      </c>
      <c r="K60" t="s">
        <v>61</v>
      </c>
      <c r="L60">
        <v>57</v>
      </c>
      <c r="M60">
        <v>0</v>
      </c>
      <c r="N60">
        <v>57</v>
      </c>
      <c r="O60">
        <v>0</v>
      </c>
      <c r="P60">
        <v>131.92429460003001</v>
      </c>
      <c r="Z60">
        <v>5</v>
      </c>
      <c r="AA60">
        <v>131.91331480001099</v>
      </c>
      <c r="AB60">
        <v>131.92429460003001</v>
      </c>
      <c r="AC60">
        <v>131.92429460003001</v>
      </c>
      <c r="AD60">
        <v>2.48122999910265E-2</v>
      </c>
      <c r="AE60">
        <v>134.48636970005401</v>
      </c>
      <c r="AF60" t="s">
        <v>224</v>
      </c>
      <c r="AG60" t="s">
        <v>225</v>
      </c>
      <c r="AH60" t="s">
        <v>58</v>
      </c>
      <c r="AI60" t="s">
        <v>59</v>
      </c>
      <c r="AJ60" t="s">
        <v>59</v>
      </c>
      <c r="AK60" t="s">
        <v>226</v>
      </c>
      <c r="AL60" t="s">
        <v>61</v>
      </c>
      <c r="AQ60" t="s">
        <v>51</v>
      </c>
      <c r="AR60">
        <v>1</v>
      </c>
      <c r="AS60" t="s">
        <v>52</v>
      </c>
      <c r="AT60" t="s">
        <v>53</v>
      </c>
      <c r="AV60" t="s">
        <v>54</v>
      </c>
      <c r="AW60">
        <v>59.798777114328601</v>
      </c>
      <c r="AX60" t="s">
        <v>55</v>
      </c>
    </row>
    <row r="61" spans="1:50" x14ac:dyDescent="0.3">
      <c r="A61">
        <v>58</v>
      </c>
      <c r="B61">
        <v>0</v>
      </c>
      <c r="C61">
        <v>58</v>
      </c>
      <c r="D61" t="s">
        <v>227</v>
      </c>
      <c r="E61" t="s">
        <v>228</v>
      </c>
      <c r="F61" t="s">
        <v>58</v>
      </c>
      <c r="G61" t="s">
        <v>59</v>
      </c>
      <c r="H61" t="s">
        <v>59</v>
      </c>
      <c r="I61">
        <f t="shared" si="0"/>
        <v>2.2404523000586698</v>
      </c>
      <c r="J61" t="s">
        <v>229</v>
      </c>
      <c r="K61" t="s">
        <v>61</v>
      </c>
      <c r="L61">
        <v>58</v>
      </c>
      <c r="M61">
        <v>0</v>
      </c>
      <c r="N61">
        <v>58</v>
      </c>
      <c r="O61">
        <v>0</v>
      </c>
      <c r="P61">
        <v>134.52481990004799</v>
      </c>
      <c r="Z61">
        <v>5</v>
      </c>
      <c r="AA61">
        <v>134.51346110005301</v>
      </c>
      <c r="AB61">
        <v>134.52481990004799</v>
      </c>
      <c r="AC61">
        <v>134.52481990004799</v>
      </c>
      <c r="AD61">
        <v>2.6891199988312998E-2</v>
      </c>
      <c r="AE61">
        <v>136.7540516</v>
      </c>
      <c r="AF61" t="s">
        <v>227</v>
      </c>
      <c r="AG61" t="s">
        <v>228</v>
      </c>
      <c r="AH61" t="s">
        <v>58</v>
      </c>
      <c r="AI61" t="s">
        <v>59</v>
      </c>
      <c r="AJ61" t="s">
        <v>59</v>
      </c>
      <c r="AK61" t="s">
        <v>229</v>
      </c>
      <c r="AL61" t="s">
        <v>61</v>
      </c>
      <c r="AQ61" t="s">
        <v>51</v>
      </c>
      <c r="AR61">
        <v>1</v>
      </c>
      <c r="AS61" t="s">
        <v>52</v>
      </c>
      <c r="AT61" t="s">
        <v>53</v>
      </c>
      <c r="AV61" t="s">
        <v>54</v>
      </c>
      <c r="AW61">
        <v>59.798777114328601</v>
      </c>
      <c r="AX61" t="s">
        <v>55</v>
      </c>
    </row>
    <row r="62" spans="1:50" x14ac:dyDescent="0.3">
      <c r="A62">
        <v>59</v>
      </c>
      <c r="B62">
        <v>0</v>
      </c>
      <c r="C62">
        <v>59</v>
      </c>
      <c r="D62" t="s">
        <v>230</v>
      </c>
      <c r="E62" t="s">
        <v>231</v>
      </c>
      <c r="F62" t="s">
        <v>58</v>
      </c>
      <c r="G62" t="s">
        <v>59</v>
      </c>
      <c r="H62" t="s">
        <v>59</v>
      </c>
      <c r="I62">
        <f t="shared" si="0"/>
        <v>2.0899729999946399</v>
      </c>
      <c r="J62" t="s">
        <v>232</v>
      </c>
      <c r="K62" t="s">
        <v>61</v>
      </c>
      <c r="L62">
        <v>59</v>
      </c>
      <c r="M62">
        <v>0</v>
      </c>
      <c r="N62">
        <v>59</v>
      </c>
      <c r="O62">
        <v>0</v>
      </c>
      <c r="P62">
        <v>136.790432900073</v>
      </c>
      <c r="Z62">
        <v>5</v>
      </c>
      <c r="AA62">
        <v>136.779501400073</v>
      </c>
      <c r="AB62">
        <v>136.790432900073</v>
      </c>
      <c r="AC62">
        <v>136.790432900073</v>
      </c>
      <c r="AD62">
        <v>2.5266399956308298E-2</v>
      </c>
      <c r="AE62">
        <v>138.869618199998</v>
      </c>
      <c r="AF62" t="s">
        <v>230</v>
      </c>
      <c r="AG62" t="s">
        <v>231</v>
      </c>
      <c r="AH62" t="s">
        <v>58</v>
      </c>
      <c r="AI62" t="s">
        <v>59</v>
      </c>
      <c r="AJ62" t="s">
        <v>59</v>
      </c>
      <c r="AK62" t="s">
        <v>232</v>
      </c>
      <c r="AL62" t="s">
        <v>61</v>
      </c>
      <c r="AQ62" t="s">
        <v>51</v>
      </c>
      <c r="AR62">
        <v>1</v>
      </c>
      <c r="AS62" t="s">
        <v>52</v>
      </c>
      <c r="AT62" t="s">
        <v>53</v>
      </c>
      <c r="AV62" t="s">
        <v>54</v>
      </c>
      <c r="AW62">
        <v>59.798777114328601</v>
      </c>
      <c r="AX62" t="s">
        <v>55</v>
      </c>
    </row>
    <row r="63" spans="1:50" x14ac:dyDescent="0.3">
      <c r="A63">
        <v>60</v>
      </c>
      <c r="B63">
        <v>0</v>
      </c>
      <c r="C63">
        <v>60</v>
      </c>
      <c r="D63" t="s">
        <v>233</v>
      </c>
      <c r="E63" t="s">
        <v>178</v>
      </c>
      <c r="F63" t="s">
        <v>58</v>
      </c>
      <c r="G63" t="s">
        <v>59</v>
      </c>
      <c r="H63" t="s">
        <v>59</v>
      </c>
      <c r="I63">
        <f t="shared" si="0"/>
        <v>1.6776975999819099</v>
      </c>
      <c r="J63" t="s">
        <v>234</v>
      </c>
      <c r="K63" t="s">
        <v>61</v>
      </c>
      <c r="L63">
        <v>60</v>
      </c>
      <c r="M63">
        <v>0</v>
      </c>
      <c r="N63">
        <v>60</v>
      </c>
      <c r="O63">
        <v>0</v>
      </c>
      <c r="P63">
        <v>138.90497210004801</v>
      </c>
      <c r="Z63">
        <v>5</v>
      </c>
      <c r="AA63">
        <v>138.89356240001501</v>
      </c>
      <c r="AB63">
        <v>138.90497210004801</v>
      </c>
      <c r="AC63">
        <v>138.90497210004801</v>
      </c>
      <c r="AD63">
        <v>2.3738700081594202E-2</v>
      </c>
      <c r="AE63">
        <v>140.57156310009299</v>
      </c>
      <c r="AF63" t="s">
        <v>233</v>
      </c>
      <c r="AG63" t="s">
        <v>178</v>
      </c>
      <c r="AH63" t="s">
        <v>58</v>
      </c>
      <c r="AI63" t="s">
        <v>59</v>
      </c>
      <c r="AJ63" t="s">
        <v>59</v>
      </c>
      <c r="AK63" t="s">
        <v>234</v>
      </c>
      <c r="AL63" t="s">
        <v>61</v>
      </c>
      <c r="AQ63" t="s">
        <v>51</v>
      </c>
      <c r="AR63">
        <v>1</v>
      </c>
      <c r="AS63" t="s">
        <v>52</v>
      </c>
      <c r="AT63" t="s">
        <v>53</v>
      </c>
      <c r="AV63" t="s">
        <v>54</v>
      </c>
      <c r="AW63">
        <v>59.798777114328601</v>
      </c>
      <c r="AX63" t="s">
        <v>55</v>
      </c>
    </row>
    <row r="64" spans="1:50" x14ac:dyDescent="0.3">
      <c r="A64">
        <v>61</v>
      </c>
      <c r="B64">
        <v>0</v>
      </c>
      <c r="C64">
        <v>61</v>
      </c>
      <c r="D64" t="s">
        <v>153</v>
      </c>
      <c r="E64" t="s">
        <v>235</v>
      </c>
      <c r="F64" t="s">
        <v>58</v>
      </c>
      <c r="G64" t="s">
        <v>59</v>
      </c>
      <c r="H64" t="s">
        <v>59</v>
      </c>
      <c r="I64">
        <f t="shared" si="0"/>
        <v>1.76331449998542</v>
      </c>
      <c r="J64" t="s">
        <v>236</v>
      </c>
      <c r="K64" t="s">
        <v>61</v>
      </c>
      <c r="L64">
        <v>61</v>
      </c>
      <c r="M64">
        <v>0</v>
      </c>
      <c r="N64">
        <v>61</v>
      </c>
      <c r="O64">
        <v>0</v>
      </c>
      <c r="P64">
        <v>140.619753000093</v>
      </c>
      <c r="Z64">
        <v>5</v>
      </c>
      <c r="AA64">
        <v>140.605653500068</v>
      </c>
      <c r="AB64">
        <v>140.619753000093</v>
      </c>
      <c r="AC64">
        <v>140.619753000093</v>
      </c>
      <c r="AD64">
        <v>3.3580700051970697E-2</v>
      </c>
      <c r="AE64">
        <v>142.36907610006099</v>
      </c>
      <c r="AF64" t="s">
        <v>153</v>
      </c>
      <c r="AG64" t="s">
        <v>235</v>
      </c>
      <c r="AH64" t="s">
        <v>58</v>
      </c>
      <c r="AI64" t="s">
        <v>59</v>
      </c>
      <c r="AJ64" t="s">
        <v>59</v>
      </c>
      <c r="AK64" t="s">
        <v>236</v>
      </c>
      <c r="AL64" t="s">
        <v>61</v>
      </c>
      <c r="AQ64" t="s">
        <v>51</v>
      </c>
      <c r="AR64">
        <v>1</v>
      </c>
      <c r="AS64" t="s">
        <v>52</v>
      </c>
      <c r="AT64" t="s">
        <v>53</v>
      </c>
      <c r="AV64" t="s">
        <v>54</v>
      </c>
      <c r="AW64">
        <v>59.798777114328601</v>
      </c>
      <c r="AX64" t="s">
        <v>55</v>
      </c>
    </row>
    <row r="65" spans="1:50" x14ac:dyDescent="0.3">
      <c r="A65">
        <v>62</v>
      </c>
      <c r="B65">
        <v>0</v>
      </c>
      <c r="C65">
        <v>62</v>
      </c>
      <c r="D65" t="s">
        <v>237</v>
      </c>
      <c r="E65" t="s">
        <v>238</v>
      </c>
      <c r="F65" t="s">
        <v>58</v>
      </c>
      <c r="G65" t="s">
        <v>59</v>
      </c>
      <c r="H65" t="s">
        <v>59</v>
      </c>
      <c r="I65">
        <f t="shared" si="0"/>
        <v>1.5651159000117301</v>
      </c>
      <c r="J65" t="s">
        <v>239</v>
      </c>
      <c r="K65" t="s">
        <v>61</v>
      </c>
      <c r="L65">
        <v>62</v>
      </c>
      <c r="M65">
        <v>0</v>
      </c>
      <c r="N65">
        <v>62</v>
      </c>
      <c r="O65">
        <v>0</v>
      </c>
      <c r="P65">
        <v>142.41656320006501</v>
      </c>
      <c r="Z65">
        <v>10</v>
      </c>
      <c r="AA65">
        <v>142.40480720007301</v>
      </c>
      <c r="AB65">
        <v>142.41656320006501</v>
      </c>
      <c r="AC65">
        <v>142.41656320006501</v>
      </c>
      <c r="AD65">
        <v>3.5538799944333697E-2</v>
      </c>
      <c r="AE65">
        <v>143.97000910004101</v>
      </c>
      <c r="AF65" t="s">
        <v>237</v>
      </c>
      <c r="AG65" t="s">
        <v>238</v>
      </c>
      <c r="AH65" t="s">
        <v>58</v>
      </c>
      <c r="AI65" t="s">
        <v>59</v>
      </c>
      <c r="AJ65" t="s">
        <v>59</v>
      </c>
      <c r="AK65" t="s">
        <v>239</v>
      </c>
      <c r="AL65" t="s">
        <v>61</v>
      </c>
      <c r="AQ65" t="s">
        <v>51</v>
      </c>
      <c r="AR65">
        <v>1</v>
      </c>
      <c r="AS65" t="s">
        <v>52</v>
      </c>
      <c r="AT65" t="s">
        <v>53</v>
      </c>
      <c r="AV65" t="s">
        <v>54</v>
      </c>
      <c r="AW65">
        <v>59.798777114328601</v>
      </c>
      <c r="AX65" t="s">
        <v>55</v>
      </c>
    </row>
    <row r="66" spans="1:50" x14ac:dyDescent="0.3">
      <c r="A66">
        <v>63</v>
      </c>
      <c r="B66">
        <v>0</v>
      </c>
      <c r="C66">
        <v>63</v>
      </c>
      <c r="D66" t="s">
        <v>240</v>
      </c>
      <c r="E66" t="s">
        <v>241</v>
      </c>
      <c r="F66" t="s">
        <v>58</v>
      </c>
      <c r="G66" t="s">
        <v>59</v>
      </c>
      <c r="H66" t="s">
        <v>59</v>
      </c>
      <c r="I66">
        <f t="shared" si="0"/>
        <v>1.8341887999558799</v>
      </c>
      <c r="J66" t="s">
        <v>242</v>
      </c>
      <c r="K66" t="s">
        <v>61</v>
      </c>
      <c r="L66">
        <v>63</v>
      </c>
      <c r="M66">
        <v>0</v>
      </c>
      <c r="N66">
        <v>63</v>
      </c>
      <c r="O66">
        <v>0</v>
      </c>
      <c r="P66">
        <v>143.99315920006401</v>
      </c>
      <c r="Z66">
        <v>5</v>
      </c>
      <c r="AA66">
        <v>143.98478370008499</v>
      </c>
      <c r="AB66">
        <v>143.99315920006401</v>
      </c>
      <c r="AC66">
        <v>143.99315920006401</v>
      </c>
      <c r="AD66">
        <v>1.45609000464901E-2</v>
      </c>
      <c r="AE66">
        <v>145.81909740006</v>
      </c>
      <c r="AF66" t="s">
        <v>240</v>
      </c>
      <c r="AG66" t="s">
        <v>241</v>
      </c>
      <c r="AH66" t="s">
        <v>58</v>
      </c>
      <c r="AI66" t="s">
        <v>59</v>
      </c>
      <c r="AJ66" t="s">
        <v>59</v>
      </c>
      <c r="AK66" t="s">
        <v>242</v>
      </c>
      <c r="AL66" t="s">
        <v>61</v>
      </c>
      <c r="AQ66" t="s">
        <v>51</v>
      </c>
      <c r="AR66">
        <v>1</v>
      </c>
      <c r="AS66" t="s">
        <v>52</v>
      </c>
      <c r="AT66" t="s">
        <v>53</v>
      </c>
      <c r="AV66" t="s">
        <v>54</v>
      </c>
      <c r="AW66">
        <v>59.798777114328601</v>
      </c>
      <c r="AX66" t="s">
        <v>55</v>
      </c>
    </row>
    <row r="67" spans="1:50" x14ac:dyDescent="0.3">
      <c r="A67">
        <v>64</v>
      </c>
      <c r="B67">
        <v>0</v>
      </c>
      <c r="C67">
        <v>64</v>
      </c>
      <c r="D67" t="s">
        <v>243</v>
      </c>
      <c r="E67" t="s">
        <v>244</v>
      </c>
      <c r="F67" t="s">
        <v>58</v>
      </c>
      <c r="G67" t="s">
        <v>59</v>
      </c>
      <c r="H67" t="s">
        <v>59</v>
      </c>
      <c r="I67">
        <f t="shared" si="0"/>
        <v>1.6576166000450001</v>
      </c>
      <c r="J67" t="s">
        <v>245</v>
      </c>
      <c r="K67" t="s">
        <v>61</v>
      </c>
      <c r="L67">
        <v>64</v>
      </c>
      <c r="M67">
        <v>0</v>
      </c>
      <c r="N67">
        <v>64</v>
      </c>
      <c r="O67">
        <v>0</v>
      </c>
      <c r="P67">
        <v>145.85542360006301</v>
      </c>
      <c r="Z67">
        <v>10</v>
      </c>
      <c r="AA67">
        <v>145.844993600039</v>
      </c>
      <c r="AB67">
        <v>145.85542360006301</v>
      </c>
      <c r="AC67">
        <v>145.85542360006301</v>
      </c>
      <c r="AD67">
        <v>2.5605699978768801E-2</v>
      </c>
      <c r="AE67">
        <v>147.50273120007401</v>
      </c>
      <c r="AF67" t="s">
        <v>243</v>
      </c>
      <c r="AG67" t="s">
        <v>244</v>
      </c>
      <c r="AH67" t="s">
        <v>58</v>
      </c>
      <c r="AI67" t="s">
        <v>59</v>
      </c>
      <c r="AJ67" t="s">
        <v>59</v>
      </c>
      <c r="AK67" t="s">
        <v>245</v>
      </c>
      <c r="AL67" t="s">
        <v>61</v>
      </c>
      <c r="AQ67" t="s">
        <v>51</v>
      </c>
      <c r="AR67">
        <v>1</v>
      </c>
      <c r="AS67" t="s">
        <v>52</v>
      </c>
      <c r="AT67" t="s">
        <v>53</v>
      </c>
      <c r="AV67" t="s">
        <v>54</v>
      </c>
      <c r="AW67">
        <v>59.798777114328601</v>
      </c>
      <c r="AX67" t="s">
        <v>55</v>
      </c>
    </row>
    <row r="68" spans="1:50" x14ac:dyDescent="0.3">
      <c r="A68">
        <v>65</v>
      </c>
      <c r="B68">
        <v>0</v>
      </c>
      <c r="C68">
        <v>65</v>
      </c>
      <c r="D68" t="s">
        <v>246</v>
      </c>
      <c r="E68" t="s">
        <v>247</v>
      </c>
      <c r="F68" t="s">
        <v>58</v>
      </c>
      <c r="G68" t="s">
        <v>59</v>
      </c>
      <c r="H68" t="s">
        <v>59</v>
      </c>
      <c r="I68">
        <f t="shared" ref="I68:I125" si="1">VALUE(SUBSTITUTE(SUBSTITUTE(J68,"[",""),"]",""))</f>
        <v>1.6711684999754599</v>
      </c>
      <c r="J68" t="s">
        <v>248</v>
      </c>
      <c r="K68" t="s">
        <v>61</v>
      </c>
      <c r="L68">
        <v>65</v>
      </c>
      <c r="M68">
        <v>0</v>
      </c>
      <c r="N68">
        <v>65</v>
      </c>
      <c r="O68">
        <v>0</v>
      </c>
      <c r="P68">
        <v>147.54039500001801</v>
      </c>
      <c r="Z68">
        <v>5</v>
      </c>
      <c r="AA68">
        <v>147.531293000094</v>
      </c>
      <c r="AB68">
        <v>147.54039500001801</v>
      </c>
      <c r="AC68">
        <v>147.54039500001801</v>
      </c>
      <c r="AD68">
        <v>2.8293899958953199E-2</v>
      </c>
      <c r="AE68">
        <v>149.20253940008101</v>
      </c>
      <c r="AF68" t="s">
        <v>246</v>
      </c>
      <c r="AG68" t="s">
        <v>247</v>
      </c>
      <c r="AH68" t="s">
        <v>58</v>
      </c>
      <c r="AI68" t="s">
        <v>59</v>
      </c>
      <c r="AJ68" t="s">
        <v>59</v>
      </c>
      <c r="AK68" t="s">
        <v>248</v>
      </c>
      <c r="AL68" t="s">
        <v>61</v>
      </c>
      <c r="AQ68" t="s">
        <v>51</v>
      </c>
      <c r="AR68">
        <v>1</v>
      </c>
      <c r="AS68" t="s">
        <v>52</v>
      </c>
      <c r="AT68" t="s">
        <v>53</v>
      </c>
      <c r="AV68" t="s">
        <v>54</v>
      </c>
      <c r="AW68">
        <v>59.798777114328601</v>
      </c>
      <c r="AX68" t="s">
        <v>55</v>
      </c>
    </row>
    <row r="69" spans="1:50" x14ac:dyDescent="0.3">
      <c r="A69">
        <v>66</v>
      </c>
      <c r="B69">
        <v>0</v>
      </c>
      <c r="C69">
        <v>66</v>
      </c>
      <c r="D69" t="s">
        <v>249</v>
      </c>
      <c r="E69" t="s">
        <v>250</v>
      </c>
      <c r="F69" t="s">
        <v>58</v>
      </c>
      <c r="G69" t="s">
        <v>59</v>
      </c>
      <c r="H69" t="s">
        <v>59</v>
      </c>
      <c r="I69">
        <f t="shared" si="1"/>
        <v>2.1689755000406801</v>
      </c>
      <c r="J69" t="s">
        <v>251</v>
      </c>
      <c r="K69" t="s">
        <v>61</v>
      </c>
      <c r="L69">
        <v>66</v>
      </c>
      <c r="M69">
        <v>0</v>
      </c>
      <c r="N69">
        <v>66</v>
      </c>
      <c r="O69">
        <v>0</v>
      </c>
      <c r="P69">
        <v>149.244666700018</v>
      </c>
      <c r="Z69">
        <v>10</v>
      </c>
      <c r="AA69">
        <v>149.23290780000301</v>
      </c>
      <c r="AB69">
        <v>149.244666700018</v>
      </c>
      <c r="AC69">
        <v>149.244666700018</v>
      </c>
      <c r="AD69">
        <v>3.0188299948349501E-2</v>
      </c>
      <c r="AE69">
        <v>151.40201030008001</v>
      </c>
      <c r="AF69" t="s">
        <v>249</v>
      </c>
      <c r="AG69" t="s">
        <v>250</v>
      </c>
      <c r="AH69" t="s">
        <v>58</v>
      </c>
      <c r="AI69" t="s">
        <v>59</v>
      </c>
      <c r="AJ69" t="s">
        <v>59</v>
      </c>
      <c r="AK69" t="s">
        <v>251</v>
      </c>
      <c r="AL69" t="s">
        <v>61</v>
      </c>
      <c r="AQ69" t="s">
        <v>51</v>
      </c>
      <c r="AR69">
        <v>1</v>
      </c>
      <c r="AS69" t="s">
        <v>52</v>
      </c>
      <c r="AT69" t="s">
        <v>53</v>
      </c>
      <c r="AV69" t="s">
        <v>54</v>
      </c>
      <c r="AW69">
        <v>59.798777114328601</v>
      </c>
      <c r="AX69" t="s">
        <v>55</v>
      </c>
    </row>
    <row r="70" spans="1:50" x14ac:dyDescent="0.3">
      <c r="A70">
        <v>67</v>
      </c>
      <c r="B70">
        <v>0</v>
      </c>
      <c r="C70">
        <v>67</v>
      </c>
      <c r="D70" t="s">
        <v>252</v>
      </c>
      <c r="E70" t="s">
        <v>148</v>
      </c>
      <c r="F70" t="s">
        <v>58</v>
      </c>
      <c r="G70" t="s">
        <v>59</v>
      </c>
      <c r="H70" t="s">
        <v>59</v>
      </c>
      <c r="I70">
        <f t="shared" si="1"/>
        <v>1.8906623999355301</v>
      </c>
      <c r="J70" t="s">
        <v>253</v>
      </c>
      <c r="K70" t="s">
        <v>61</v>
      </c>
      <c r="L70">
        <v>67</v>
      </c>
      <c r="M70">
        <v>0</v>
      </c>
      <c r="N70">
        <v>67</v>
      </c>
      <c r="O70">
        <v>0</v>
      </c>
      <c r="P70">
        <v>151.43851740006301</v>
      </c>
      <c r="Z70">
        <v>5</v>
      </c>
      <c r="AA70">
        <v>151.42886059999</v>
      </c>
      <c r="AB70">
        <v>151.43851740006301</v>
      </c>
      <c r="AC70">
        <v>151.43851740006301</v>
      </c>
      <c r="AD70">
        <v>2.65532999765127E-2</v>
      </c>
      <c r="AE70">
        <v>153.31966770009601</v>
      </c>
      <c r="AF70" t="s">
        <v>252</v>
      </c>
      <c r="AG70" t="s">
        <v>148</v>
      </c>
      <c r="AH70" t="s">
        <v>58</v>
      </c>
      <c r="AI70" t="s">
        <v>59</v>
      </c>
      <c r="AJ70" t="s">
        <v>59</v>
      </c>
      <c r="AK70" t="s">
        <v>253</v>
      </c>
      <c r="AL70" t="s">
        <v>61</v>
      </c>
      <c r="AQ70" t="s">
        <v>51</v>
      </c>
      <c r="AR70">
        <v>1</v>
      </c>
      <c r="AS70" t="s">
        <v>52</v>
      </c>
      <c r="AT70" t="s">
        <v>53</v>
      </c>
      <c r="AV70" t="s">
        <v>54</v>
      </c>
      <c r="AW70">
        <v>59.798777114328601</v>
      </c>
      <c r="AX70" t="s">
        <v>55</v>
      </c>
    </row>
    <row r="71" spans="1:50" x14ac:dyDescent="0.3">
      <c r="A71">
        <v>68</v>
      </c>
      <c r="B71">
        <v>0</v>
      </c>
      <c r="C71">
        <v>68</v>
      </c>
      <c r="D71" t="s">
        <v>254</v>
      </c>
      <c r="E71" t="s">
        <v>255</v>
      </c>
      <c r="F71" t="s">
        <v>58</v>
      </c>
      <c r="G71" t="s">
        <v>59</v>
      </c>
      <c r="H71" t="s">
        <v>59</v>
      </c>
      <c r="I71">
        <f t="shared" si="1"/>
        <v>1.63032240001484</v>
      </c>
      <c r="J71" t="s">
        <v>256</v>
      </c>
      <c r="K71" t="s">
        <v>61</v>
      </c>
      <c r="L71">
        <v>68</v>
      </c>
      <c r="M71">
        <v>0</v>
      </c>
      <c r="N71">
        <v>68</v>
      </c>
      <c r="O71">
        <v>0</v>
      </c>
      <c r="P71">
        <v>153.39105970004999</v>
      </c>
      <c r="Z71">
        <v>10</v>
      </c>
      <c r="AA71">
        <v>153.37251070002</v>
      </c>
      <c r="AB71">
        <v>153.39105970004999</v>
      </c>
      <c r="AC71">
        <v>153.39105970004999</v>
      </c>
      <c r="AD71">
        <v>5.2650399971753303E-2</v>
      </c>
      <c r="AE71">
        <v>155.002934399992</v>
      </c>
      <c r="AF71" t="s">
        <v>254</v>
      </c>
      <c r="AG71" t="s">
        <v>255</v>
      </c>
      <c r="AH71" t="s">
        <v>58</v>
      </c>
      <c r="AI71" t="s">
        <v>59</v>
      </c>
      <c r="AJ71" t="s">
        <v>59</v>
      </c>
      <c r="AK71" t="s">
        <v>256</v>
      </c>
      <c r="AL71" t="s">
        <v>61</v>
      </c>
      <c r="AQ71" t="s">
        <v>51</v>
      </c>
      <c r="AR71">
        <v>1</v>
      </c>
      <c r="AS71" t="s">
        <v>52</v>
      </c>
      <c r="AT71" t="s">
        <v>53</v>
      </c>
      <c r="AV71" t="s">
        <v>54</v>
      </c>
      <c r="AW71">
        <v>59.798777114328601</v>
      </c>
      <c r="AX71" t="s">
        <v>55</v>
      </c>
    </row>
    <row r="72" spans="1:50" x14ac:dyDescent="0.3">
      <c r="A72">
        <v>69</v>
      </c>
      <c r="B72">
        <v>0</v>
      </c>
      <c r="C72">
        <v>69</v>
      </c>
      <c r="D72" t="s">
        <v>257</v>
      </c>
      <c r="E72" t="s">
        <v>113</v>
      </c>
      <c r="F72" t="s">
        <v>58</v>
      </c>
      <c r="G72" t="s">
        <v>59</v>
      </c>
      <c r="H72" t="s">
        <v>59</v>
      </c>
      <c r="I72">
        <f t="shared" si="1"/>
        <v>2.1822095999959799</v>
      </c>
      <c r="J72" t="s">
        <v>258</v>
      </c>
      <c r="K72" t="s">
        <v>61</v>
      </c>
      <c r="L72">
        <v>69</v>
      </c>
      <c r="M72">
        <v>0</v>
      </c>
      <c r="N72">
        <v>69</v>
      </c>
      <c r="O72">
        <v>0</v>
      </c>
      <c r="P72">
        <v>155.056188200018</v>
      </c>
      <c r="Z72">
        <v>10</v>
      </c>
      <c r="AA72">
        <v>155.03770460002099</v>
      </c>
      <c r="AB72">
        <v>155.056188200018</v>
      </c>
      <c r="AC72">
        <v>155.056188200018</v>
      </c>
      <c r="AD72">
        <v>3.4477599896490498E-2</v>
      </c>
      <c r="AE72">
        <v>157.22008070000399</v>
      </c>
      <c r="AF72" t="s">
        <v>257</v>
      </c>
      <c r="AG72" t="s">
        <v>113</v>
      </c>
      <c r="AH72" t="s">
        <v>58</v>
      </c>
      <c r="AI72" t="s">
        <v>59</v>
      </c>
      <c r="AJ72" t="s">
        <v>59</v>
      </c>
      <c r="AK72" t="s">
        <v>258</v>
      </c>
      <c r="AL72" t="s">
        <v>61</v>
      </c>
      <c r="AQ72" t="s">
        <v>51</v>
      </c>
      <c r="AR72">
        <v>1</v>
      </c>
      <c r="AS72" t="s">
        <v>52</v>
      </c>
      <c r="AT72" t="s">
        <v>53</v>
      </c>
      <c r="AV72" t="s">
        <v>54</v>
      </c>
      <c r="AW72">
        <v>59.798777114328601</v>
      </c>
      <c r="AX72" t="s">
        <v>55</v>
      </c>
    </row>
    <row r="73" spans="1:50" x14ac:dyDescent="0.3">
      <c r="A73">
        <v>70</v>
      </c>
      <c r="B73">
        <v>0</v>
      </c>
      <c r="C73">
        <v>70</v>
      </c>
      <c r="D73" t="s">
        <v>259</v>
      </c>
      <c r="E73" t="s">
        <v>260</v>
      </c>
      <c r="F73" t="s">
        <v>58</v>
      </c>
      <c r="G73" t="s">
        <v>59</v>
      </c>
      <c r="H73" t="s">
        <v>59</v>
      </c>
      <c r="I73">
        <f t="shared" si="1"/>
        <v>1.78967890003696</v>
      </c>
      <c r="J73" t="s">
        <v>261</v>
      </c>
      <c r="K73" t="s">
        <v>61</v>
      </c>
      <c r="L73">
        <v>70</v>
      </c>
      <c r="M73">
        <v>0</v>
      </c>
      <c r="N73">
        <v>70</v>
      </c>
      <c r="O73">
        <v>0</v>
      </c>
      <c r="P73">
        <v>157.25497510004701</v>
      </c>
      <c r="Z73">
        <v>5</v>
      </c>
      <c r="AA73">
        <v>157.24619530001601</v>
      </c>
      <c r="AB73">
        <v>157.25497510004701</v>
      </c>
      <c r="AC73">
        <v>157.25497510004701</v>
      </c>
      <c r="AD73">
        <v>2.5685600005090198E-2</v>
      </c>
      <c r="AE73">
        <v>159.036014500074</v>
      </c>
      <c r="AF73" t="s">
        <v>259</v>
      </c>
      <c r="AG73" t="s">
        <v>260</v>
      </c>
      <c r="AH73" t="s">
        <v>58</v>
      </c>
      <c r="AI73" t="s">
        <v>59</v>
      </c>
      <c r="AJ73" t="s">
        <v>59</v>
      </c>
      <c r="AK73" t="s">
        <v>261</v>
      </c>
      <c r="AL73" t="s">
        <v>61</v>
      </c>
      <c r="AQ73" t="s">
        <v>51</v>
      </c>
      <c r="AR73">
        <v>1</v>
      </c>
      <c r="AS73" t="s">
        <v>52</v>
      </c>
      <c r="AT73" t="s">
        <v>53</v>
      </c>
      <c r="AV73" t="s">
        <v>54</v>
      </c>
      <c r="AW73">
        <v>59.798777114328601</v>
      </c>
      <c r="AX73" t="s">
        <v>55</v>
      </c>
    </row>
    <row r="74" spans="1:50" x14ac:dyDescent="0.3">
      <c r="A74">
        <v>71</v>
      </c>
      <c r="B74">
        <v>0</v>
      </c>
      <c r="C74">
        <v>71</v>
      </c>
      <c r="D74" t="s">
        <v>148</v>
      </c>
      <c r="E74" t="s">
        <v>197</v>
      </c>
      <c r="F74" t="s">
        <v>58</v>
      </c>
      <c r="G74" t="s">
        <v>59</v>
      </c>
      <c r="H74" t="s">
        <v>59</v>
      </c>
      <c r="I74">
        <f t="shared" si="1"/>
        <v>1.1580844999989399</v>
      </c>
      <c r="J74" t="s">
        <v>262</v>
      </c>
      <c r="K74" t="s">
        <v>61</v>
      </c>
      <c r="L74">
        <v>71</v>
      </c>
      <c r="M74">
        <v>0</v>
      </c>
      <c r="N74">
        <v>71</v>
      </c>
      <c r="O74">
        <v>0</v>
      </c>
      <c r="P74">
        <v>159.068262199987</v>
      </c>
      <c r="Z74">
        <v>5</v>
      </c>
      <c r="AA74">
        <v>159.06073580007001</v>
      </c>
      <c r="AB74">
        <v>159.068262199987</v>
      </c>
      <c r="AC74">
        <v>159.068262199987</v>
      </c>
      <c r="AD74">
        <v>2.44386000558733E-2</v>
      </c>
      <c r="AE74">
        <v>160.21893380000199</v>
      </c>
      <c r="AF74" t="s">
        <v>148</v>
      </c>
      <c r="AG74" t="s">
        <v>197</v>
      </c>
      <c r="AH74" t="s">
        <v>58</v>
      </c>
      <c r="AI74" t="s">
        <v>59</v>
      </c>
      <c r="AJ74" t="s">
        <v>59</v>
      </c>
      <c r="AK74" t="s">
        <v>262</v>
      </c>
      <c r="AL74" t="s">
        <v>61</v>
      </c>
      <c r="AQ74" t="s">
        <v>51</v>
      </c>
      <c r="AR74">
        <v>1</v>
      </c>
      <c r="AS74" t="s">
        <v>52</v>
      </c>
      <c r="AT74" t="s">
        <v>53</v>
      </c>
      <c r="AV74" t="s">
        <v>54</v>
      </c>
      <c r="AW74">
        <v>59.798777114328601</v>
      </c>
      <c r="AX74" t="s">
        <v>55</v>
      </c>
    </row>
    <row r="75" spans="1:50" x14ac:dyDescent="0.3">
      <c r="A75">
        <v>72</v>
      </c>
      <c r="B75">
        <v>0</v>
      </c>
      <c r="C75">
        <v>72</v>
      </c>
      <c r="D75" t="s">
        <v>263</v>
      </c>
      <c r="E75" t="s">
        <v>203</v>
      </c>
      <c r="F75" t="s">
        <v>58</v>
      </c>
      <c r="G75" t="s">
        <v>59</v>
      </c>
      <c r="H75" t="s">
        <v>59</v>
      </c>
      <c r="I75">
        <f t="shared" si="1"/>
        <v>2.4981089000357302</v>
      </c>
      <c r="J75" t="s">
        <v>264</v>
      </c>
      <c r="K75" t="s">
        <v>61</v>
      </c>
      <c r="L75">
        <v>72</v>
      </c>
      <c r="M75">
        <v>0</v>
      </c>
      <c r="N75">
        <v>72</v>
      </c>
      <c r="O75">
        <v>0</v>
      </c>
      <c r="P75">
        <v>160.28970850002901</v>
      </c>
      <c r="Z75">
        <v>10</v>
      </c>
      <c r="AA75">
        <v>160.27110750006901</v>
      </c>
      <c r="AB75">
        <v>160.28970850002901</v>
      </c>
      <c r="AC75">
        <v>160.28970850002901</v>
      </c>
      <c r="AD75">
        <v>5.19791999831795E-2</v>
      </c>
      <c r="AE75">
        <v>162.769325000001</v>
      </c>
      <c r="AF75" t="s">
        <v>263</v>
      </c>
      <c r="AG75" t="s">
        <v>203</v>
      </c>
      <c r="AH75" t="s">
        <v>58</v>
      </c>
      <c r="AI75" t="s">
        <v>59</v>
      </c>
      <c r="AJ75" t="s">
        <v>59</v>
      </c>
      <c r="AK75" t="s">
        <v>264</v>
      </c>
      <c r="AL75" t="s">
        <v>61</v>
      </c>
      <c r="AQ75" t="s">
        <v>51</v>
      </c>
      <c r="AR75">
        <v>1</v>
      </c>
      <c r="AS75" t="s">
        <v>52</v>
      </c>
      <c r="AT75" t="s">
        <v>53</v>
      </c>
      <c r="AV75" t="s">
        <v>54</v>
      </c>
      <c r="AW75">
        <v>59.798777114328601</v>
      </c>
      <c r="AX75" t="s">
        <v>55</v>
      </c>
    </row>
    <row r="76" spans="1:50" x14ac:dyDescent="0.3">
      <c r="A76">
        <v>73</v>
      </c>
      <c r="B76">
        <v>0</v>
      </c>
      <c r="C76">
        <v>73</v>
      </c>
      <c r="D76" t="s">
        <v>265</v>
      </c>
      <c r="E76" t="s">
        <v>266</v>
      </c>
      <c r="F76" t="s">
        <v>58</v>
      </c>
      <c r="G76" t="s">
        <v>59</v>
      </c>
      <c r="H76" t="s">
        <v>59</v>
      </c>
      <c r="I76">
        <f t="shared" si="1"/>
        <v>1.7391378999454901</v>
      </c>
      <c r="J76" t="s">
        <v>267</v>
      </c>
      <c r="K76" t="s">
        <v>61</v>
      </c>
      <c r="L76">
        <v>73</v>
      </c>
      <c r="M76">
        <v>0</v>
      </c>
      <c r="N76">
        <v>73</v>
      </c>
      <c r="O76">
        <v>0</v>
      </c>
      <c r="P76">
        <v>162.80497200006999</v>
      </c>
      <c r="Z76">
        <v>5</v>
      </c>
      <c r="AA76">
        <v>162.795939400093</v>
      </c>
      <c r="AB76">
        <v>162.80497200006999</v>
      </c>
      <c r="AC76">
        <v>162.80497200006999</v>
      </c>
      <c r="AD76">
        <v>2.6351599954068598E-2</v>
      </c>
      <c r="AE76">
        <v>164.53521620004901</v>
      </c>
      <c r="AF76" t="s">
        <v>265</v>
      </c>
      <c r="AG76" t="s">
        <v>266</v>
      </c>
      <c r="AH76" t="s">
        <v>58</v>
      </c>
      <c r="AI76" t="s">
        <v>59</v>
      </c>
      <c r="AJ76" t="s">
        <v>59</v>
      </c>
      <c r="AK76" t="s">
        <v>267</v>
      </c>
      <c r="AL76" t="s">
        <v>61</v>
      </c>
      <c r="AQ76" t="s">
        <v>51</v>
      </c>
      <c r="AR76">
        <v>1</v>
      </c>
      <c r="AS76" t="s">
        <v>52</v>
      </c>
      <c r="AT76" t="s">
        <v>53</v>
      </c>
      <c r="AV76" t="s">
        <v>54</v>
      </c>
      <c r="AW76">
        <v>59.798777114328601</v>
      </c>
      <c r="AX76" t="s">
        <v>55</v>
      </c>
    </row>
    <row r="77" spans="1:50" x14ac:dyDescent="0.3">
      <c r="A77">
        <v>74</v>
      </c>
      <c r="B77">
        <v>0</v>
      </c>
      <c r="C77">
        <v>74</v>
      </c>
      <c r="D77" t="s">
        <v>268</v>
      </c>
      <c r="E77" t="s">
        <v>269</v>
      </c>
      <c r="F77" t="s">
        <v>58</v>
      </c>
      <c r="G77" t="s">
        <v>59</v>
      </c>
      <c r="H77" t="s">
        <v>59</v>
      </c>
      <c r="I77">
        <f t="shared" si="1"/>
        <v>1.9386465999996201</v>
      </c>
      <c r="J77" t="s">
        <v>270</v>
      </c>
      <c r="K77" t="s">
        <v>61</v>
      </c>
      <c r="L77">
        <v>74</v>
      </c>
      <c r="M77">
        <v>0</v>
      </c>
      <c r="N77">
        <v>74</v>
      </c>
      <c r="O77">
        <v>0</v>
      </c>
      <c r="P77">
        <v>164.57094590004999</v>
      </c>
      <c r="Z77">
        <v>5</v>
      </c>
      <c r="AA77">
        <v>164.56334150000399</v>
      </c>
      <c r="AB77">
        <v>164.57094590004999</v>
      </c>
      <c r="AC77">
        <v>164.57094590004999</v>
      </c>
      <c r="AD77">
        <v>2.7815600042231301E-2</v>
      </c>
      <c r="AE77">
        <v>166.50214009999701</v>
      </c>
      <c r="AF77" t="s">
        <v>268</v>
      </c>
      <c r="AG77" t="s">
        <v>269</v>
      </c>
      <c r="AH77" t="s">
        <v>58</v>
      </c>
      <c r="AI77" t="s">
        <v>59</v>
      </c>
      <c r="AJ77" t="s">
        <v>59</v>
      </c>
      <c r="AK77" t="s">
        <v>270</v>
      </c>
      <c r="AL77" t="s">
        <v>61</v>
      </c>
      <c r="AQ77" t="s">
        <v>51</v>
      </c>
      <c r="AR77">
        <v>1</v>
      </c>
      <c r="AS77" t="s">
        <v>52</v>
      </c>
      <c r="AT77" t="s">
        <v>53</v>
      </c>
      <c r="AV77" t="s">
        <v>54</v>
      </c>
      <c r="AW77">
        <v>59.798777114328601</v>
      </c>
      <c r="AX77" t="s">
        <v>55</v>
      </c>
    </row>
    <row r="78" spans="1:50" x14ac:dyDescent="0.3">
      <c r="A78">
        <v>75</v>
      </c>
      <c r="B78">
        <v>0</v>
      </c>
      <c r="C78">
        <v>75</v>
      </c>
      <c r="D78" t="s">
        <v>271</v>
      </c>
      <c r="E78" t="s">
        <v>272</v>
      </c>
      <c r="F78" t="s">
        <v>58</v>
      </c>
      <c r="G78" t="s">
        <v>59</v>
      </c>
      <c r="H78" t="s">
        <v>59</v>
      </c>
      <c r="I78">
        <f t="shared" si="1"/>
        <v>2.3895902000367601</v>
      </c>
      <c r="J78" t="s">
        <v>273</v>
      </c>
      <c r="K78" t="s">
        <v>61</v>
      </c>
      <c r="L78">
        <v>75</v>
      </c>
      <c r="M78">
        <v>0</v>
      </c>
      <c r="N78">
        <v>75</v>
      </c>
      <c r="O78">
        <v>0</v>
      </c>
      <c r="P78">
        <v>166.539003000012</v>
      </c>
      <c r="Z78">
        <v>5</v>
      </c>
      <c r="AA78">
        <v>166.52807770005799</v>
      </c>
      <c r="AB78">
        <v>166.539003000012</v>
      </c>
      <c r="AC78">
        <v>166.539003000012</v>
      </c>
      <c r="AD78">
        <v>2.5702300015836899E-2</v>
      </c>
      <c r="AE78">
        <v>168.91777380008699</v>
      </c>
      <c r="AF78" t="s">
        <v>271</v>
      </c>
      <c r="AG78" t="s">
        <v>272</v>
      </c>
      <c r="AH78" t="s">
        <v>58</v>
      </c>
      <c r="AI78" t="s">
        <v>59</v>
      </c>
      <c r="AJ78" t="s">
        <v>59</v>
      </c>
      <c r="AK78" t="s">
        <v>273</v>
      </c>
      <c r="AL78" t="s">
        <v>61</v>
      </c>
      <c r="AQ78" t="s">
        <v>51</v>
      </c>
      <c r="AR78">
        <v>1</v>
      </c>
      <c r="AS78" t="s">
        <v>52</v>
      </c>
      <c r="AT78" t="s">
        <v>53</v>
      </c>
      <c r="AV78" t="s">
        <v>54</v>
      </c>
      <c r="AW78">
        <v>59.798777114328601</v>
      </c>
      <c r="AX78" t="s">
        <v>55</v>
      </c>
    </row>
    <row r="79" spans="1:50" x14ac:dyDescent="0.3">
      <c r="A79">
        <v>76</v>
      </c>
      <c r="B79">
        <v>0</v>
      </c>
      <c r="C79">
        <v>76</v>
      </c>
      <c r="D79" t="s">
        <v>62</v>
      </c>
      <c r="E79" t="s">
        <v>274</v>
      </c>
      <c r="F79" t="s">
        <v>58</v>
      </c>
      <c r="G79" t="s">
        <v>59</v>
      </c>
      <c r="H79" t="s">
        <v>59</v>
      </c>
      <c r="I79">
        <f t="shared" si="1"/>
        <v>2.8826621000189299</v>
      </c>
      <c r="J79" t="s">
        <v>275</v>
      </c>
      <c r="K79" t="s">
        <v>61</v>
      </c>
      <c r="L79">
        <v>76</v>
      </c>
      <c r="M79">
        <v>0</v>
      </c>
      <c r="N79">
        <v>76</v>
      </c>
      <c r="O79">
        <v>0</v>
      </c>
      <c r="P79">
        <v>168.98688870004801</v>
      </c>
      <c r="Z79">
        <v>10</v>
      </c>
      <c r="AA79">
        <v>168.96864830004</v>
      </c>
      <c r="AB79">
        <v>168.98688870004801</v>
      </c>
      <c r="AC79">
        <v>168.98688870004801</v>
      </c>
      <c r="AD79">
        <v>5.0664300099015201E-2</v>
      </c>
      <c r="AE79">
        <v>171.85147850005799</v>
      </c>
      <c r="AF79" t="s">
        <v>62</v>
      </c>
      <c r="AG79" t="s">
        <v>274</v>
      </c>
      <c r="AH79" t="s">
        <v>58</v>
      </c>
      <c r="AI79" t="s">
        <v>59</v>
      </c>
      <c r="AJ79" t="s">
        <v>59</v>
      </c>
      <c r="AK79" t="s">
        <v>275</v>
      </c>
      <c r="AL79" t="s">
        <v>61</v>
      </c>
      <c r="AQ79" t="s">
        <v>51</v>
      </c>
      <c r="AR79">
        <v>1</v>
      </c>
      <c r="AS79" t="s">
        <v>52</v>
      </c>
      <c r="AT79" t="s">
        <v>53</v>
      </c>
      <c r="AV79" t="s">
        <v>54</v>
      </c>
      <c r="AW79">
        <v>59.798777114328601</v>
      </c>
      <c r="AX79" t="s">
        <v>55</v>
      </c>
    </row>
    <row r="80" spans="1:50" x14ac:dyDescent="0.3">
      <c r="A80">
        <v>77</v>
      </c>
      <c r="B80">
        <v>0</v>
      </c>
      <c r="C80">
        <v>77</v>
      </c>
      <c r="D80" t="s">
        <v>276</v>
      </c>
      <c r="E80" t="s">
        <v>277</v>
      </c>
      <c r="F80" t="s">
        <v>58</v>
      </c>
      <c r="G80" t="s">
        <v>59</v>
      </c>
      <c r="H80" t="s">
        <v>59</v>
      </c>
      <c r="I80">
        <f t="shared" si="1"/>
        <v>2.7496772999875199</v>
      </c>
      <c r="J80" t="s">
        <v>278</v>
      </c>
      <c r="K80" t="s">
        <v>61</v>
      </c>
      <c r="L80">
        <v>77</v>
      </c>
      <c r="M80">
        <v>0</v>
      </c>
      <c r="N80">
        <v>77</v>
      </c>
      <c r="O80">
        <v>0</v>
      </c>
      <c r="P80">
        <v>171.897693800041</v>
      </c>
      <c r="Z80">
        <v>10</v>
      </c>
      <c r="AA80">
        <v>171.88552950008301</v>
      </c>
      <c r="AB80">
        <v>171.897693800041</v>
      </c>
      <c r="AC80">
        <v>171.897693800041</v>
      </c>
      <c r="AD80">
        <v>3.3561099902726703E-2</v>
      </c>
      <c r="AE80">
        <v>174.63537300005501</v>
      </c>
      <c r="AF80" t="s">
        <v>276</v>
      </c>
      <c r="AG80" t="s">
        <v>277</v>
      </c>
      <c r="AH80" t="s">
        <v>58</v>
      </c>
      <c r="AI80" t="s">
        <v>59</v>
      </c>
      <c r="AJ80" t="s">
        <v>59</v>
      </c>
      <c r="AK80" t="s">
        <v>278</v>
      </c>
      <c r="AL80" t="s">
        <v>61</v>
      </c>
      <c r="AQ80" t="s">
        <v>51</v>
      </c>
      <c r="AR80">
        <v>1</v>
      </c>
      <c r="AS80" t="s">
        <v>52</v>
      </c>
      <c r="AT80" t="s">
        <v>53</v>
      </c>
      <c r="AV80" t="s">
        <v>54</v>
      </c>
      <c r="AW80">
        <v>59.798777114328601</v>
      </c>
      <c r="AX80" t="s">
        <v>55</v>
      </c>
    </row>
    <row r="81" spans="1:50" x14ac:dyDescent="0.3">
      <c r="A81">
        <v>78</v>
      </c>
      <c r="B81">
        <v>0</v>
      </c>
      <c r="C81">
        <v>78</v>
      </c>
      <c r="D81" t="s">
        <v>279</v>
      </c>
      <c r="E81" t="s">
        <v>280</v>
      </c>
      <c r="F81" t="s">
        <v>58</v>
      </c>
      <c r="G81" t="s">
        <v>59</v>
      </c>
      <c r="H81" t="s">
        <v>59</v>
      </c>
      <c r="I81">
        <f t="shared" si="1"/>
        <v>2.2124390000244598</v>
      </c>
      <c r="J81" t="s">
        <v>281</v>
      </c>
      <c r="K81" t="s">
        <v>61</v>
      </c>
      <c r="L81">
        <v>78</v>
      </c>
      <c r="M81">
        <v>0</v>
      </c>
      <c r="N81">
        <v>78</v>
      </c>
      <c r="O81">
        <v>0</v>
      </c>
      <c r="P81">
        <v>174.66113660007201</v>
      </c>
      <c r="Z81">
        <v>5</v>
      </c>
      <c r="AA81">
        <v>174.65415399998801</v>
      </c>
      <c r="AB81">
        <v>174.66113660007201</v>
      </c>
      <c r="AC81">
        <v>174.66113660007201</v>
      </c>
      <c r="AD81">
        <v>1.84583000373095E-2</v>
      </c>
      <c r="AE81">
        <v>176.866668800008</v>
      </c>
      <c r="AF81" t="s">
        <v>279</v>
      </c>
      <c r="AG81" t="s">
        <v>280</v>
      </c>
      <c r="AH81" t="s">
        <v>58</v>
      </c>
      <c r="AI81" t="s">
        <v>59</v>
      </c>
      <c r="AJ81" t="s">
        <v>59</v>
      </c>
      <c r="AK81" t="s">
        <v>281</v>
      </c>
      <c r="AL81" t="s">
        <v>61</v>
      </c>
      <c r="AQ81" t="s">
        <v>51</v>
      </c>
      <c r="AR81">
        <v>1</v>
      </c>
      <c r="AS81" t="s">
        <v>52</v>
      </c>
      <c r="AT81" t="s">
        <v>53</v>
      </c>
      <c r="AV81" t="s">
        <v>54</v>
      </c>
      <c r="AW81">
        <v>59.798777114328601</v>
      </c>
      <c r="AX81" t="s">
        <v>55</v>
      </c>
    </row>
    <row r="82" spans="1:50" x14ac:dyDescent="0.3">
      <c r="A82">
        <v>79</v>
      </c>
      <c r="B82">
        <v>0</v>
      </c>
      <c r="C82">
        <v>79</v>
      </c>
      <c r="D82" t="s">
        <v>282</v>
      </c>
      <c r="E82" t="s">
        <v>283</v>
      </c>
      <c r="F82" t="s">
        <v>58</v>
      </c>
      <c r="G82" t="s">
        <v>59</v>
      </c>
      <c r="H82" t="s">
        <v>59</v>
      </c>
      <c r="I82">
        <f t="shared" si="1"/>
        <v>2.11218649998772</v>
      </c>
      <c r="J82" t="s">
        <v>284</v>
      </c>
      <c r="K82" t="s">
        <v>61</v>
      </c>
      <c r="L82">
        <v>79</v>
      </c>
      <c r="M82">
        <v>0</v>
      </c>
      <c r="N82">
        <v>79</v>
      </c>
      <c r="O82">
        <v>0</v>
      </c>
      <c r="P82">
        <v>176.89679170004001</v>
      </c>
      <c r="Z82">
        <v>5</v>
      </c>
      <c r="AA82">
        <v>176.88903140008901</v>
      </c>
      <c r="AB82">
        <v>176.89679170004001</v>
      </c>
      <c r="AC82">
        <v>176.89679170004001</v>
      </c>
      <c r="AD82">
        <v>2.2228500107303199E-2</v>
      </c>
      <c r="AE82">
        <v>179.00136079999999</v>
      </c>
      <c r="AF82" t="s">
        <v>282</v>
      </c>
      <c r="AG82" t="s">
        <v>283</v>
      </c>
      <c r="AH82" t="s">
        <v>58</v>
      </c>
      <c r="AI82" t="s">
        <v>59</v>
      </c>
      <c r="AJ82" t="s">
        <v>59</v>
      </c>
      <c r="AK82" t="s">
        <v>284</v>
      </c>
      <c r="AL82" t="s">
        <v>61</v>
      </c>
      <c r="AQ82" t="s">
        <v>51</v>
      </c>
      <c r="AR82">
        <v>1</v>
      </c>
      <c r="AS82" t="s">
        <v>52</v>
      </c>
      <c r="AT82" t="s">
        <v>53</v>
      </c>
      <c r="AV82" t="s">
        <v>54</v>
      </c>
      <c r="AW82">
        <v>59.798777114328601</v>
      </c>
      <c r="AX82" t="s">
        <v>55</v>
      </c>
    </row>
    <row r="83" spans="1:50" x14ac:dyDescent="0.3">
      <c r="A83">
        <v>80</v>
      </c>
      <c r="B83">
        <v>0</v>
      </c>
      <c r="C83">
        <v>80</v>
      </c>
      <c r="D83" t="s">
        <v>285</v>
      </c>
      <c r="E83" t="s">
        <v>286</v>
      </c>
      <c r="F83" t="s">
        <v>58</v>
      </c>
      <c r="G83" t="s">
        <v>59</v>
      </c>
      <c r="H83" t="s">
        <v>59</v>
      </c>
      <c r="I83">
        <f t="shared" si="1"/>
        <v>1.7323160999221701</v>
      </c>
      <c r="J83" t="s">
        <v>287</v>
      </c>
      <c r="K83" t="s">
        <v>61</v>
      </c>
      <c r="L83">
        <v>80</v>
      </c>
      <c r="M83">
        <v>0</v>
      </c>
      <c r="N83">
        <v>80</v>
      </c>
      <c r="O83">
        <v>0</v>
      </c>
      <c r="P83">
        <v>179.04736080008999</v>
      </c>
      <c r="Z83">
        <v>5</v>
      </c>
      <c r="AA83">
        <v>179.03579500003201</v>
      </c>
      <c r="AB83">
        <v>179.04736080008999</v>
      </c>
      <c r="AC83">
        <v>179.04736080008999</v>
      </c>
      <c r="AD83">
        <v>3.4214499988593099E-2</v>
      </c>
      <c r="AE83">
        <v>180.76822600001401</v>
      </c>
      <c r="AF83" t="s">
        <v>285</v>
      </c>
      <c r="AG83" t="s">
        <v>286</v>
      </c>
      <c r="AH83" t="s">
        <v>58</v>
      </c>
      <c r="AI83" t="s">
        <v>59</v>
      </c>
      <c r="AJ83" t="s">
        <v>59</v>
      </c>
      <c r="AK83" t="s">
        <v>287</v>
      </c>
      <c r="AL83" t="s">
        <v>61</v>
      </c>
      <c r="AQ83" t="s">
        <v>51</v>
      </c>
      <c r="AR83">
        <v>1</v>
      </c>
      <c r="AS83" t="s">
        <v>52</v>
      </c>
      <c r="AT83" t="s">
        <v>53</v>
      </c>
      <c r="AV83" t="s">
        <v>54</v>
      </c>
      <c r="AW83">
        <v>59.798777114328601</v>
      </c>
      <c r="AX83" t="s">
        <v>55</v>
      </c>
    </row>
    <row r="84" spans="1:50" x14ac:dyDescent="0.3">
      <c r="A84">
        <v>81</v>
      </c>
      <c r="B84">
        <v>0</v>
      </c>
      <c r="C84">
        <v>81</v>
      </c>
      <c r="D84" t="s">
        <v>288</v>
      </c>
      <c r="E84" t="s">
        <v>289</v>
      </c>
      <c r="F84" t="s">
        <v>58</v>
      </c>
      <c r="G84" t="s">
        <v>59</v>
      </c>
      <c r="H84" t="s">
        <v>59</v>
      </c>
      <c r="I84">
        <f t="shared" si="1"/>
        <v>2.12195279996376</v>
      </c>
      <c r="J84" t="s">
        <v>290</v>
      </c>
      <c r="K84" t="s">
        <v>61</v>
      </c>
      <c r="L84">
        <v>81</v>
      </c>
      <c r="M84">
        <v>0</v>
      </c>
      <c r="N84">
        <v>81</v>
      </c>
      <c r="O84">
        <v>0</v>
      </c>
      <c r="P84">
        <v>180.80661349999701</v>
      </c>
      <c r="Z84">
        <v>10</v>
      </c>
      <c r="AA84">
        <v>180.795153400045</v>
      </c>
      <c r="AB84">
        <v>180.80661349999701</v>
      </c>
      <c r="AC84">
        <v>180.80661349999701</v>
      </c>
      <c r="AD84">
        <v>2.6658500079065499E-2</v>
      </c>
      <c r="AE84">
        <v>182.91727350000201</v>
      </c>
      <c r="AF84" t="s">
        <v>288</v>
      </c>
      <c r="AG84" t="s">
        <v>289</v>
      </c>
      <c r="AH84" t="s">
        <v>58</v>
      </c>
      <c r="AI84" t="s">
        <v>59</v>
      </c>
      <c r="AJ84" t="s">
        <v>59</v>
      </c>
      <c r="AK84" t="s">
        <v>290</v>
      </c>
      <c r="AL84" t="s">
        <v>61</v>
      </c>
      <c r="AQ84" t="s">
        <v>51</v>
      </c>
      <c r="AR84">
        <v>1</v>
      </c>
      <c r="AS84" t="s">
        <v>52</v>
      </c>
      <c r="AT84" t="s">
        <v>53</v>
      </c>
      <c r="AV84" t="s">
        <v>54</v>
      </c>
      <c r="AW84">
        <v>59.798777114328601</v>
      </c>
      <c r="AX84" t="s">
        <v>55</v>
      </c>
    </row>
    <row r="85" spans="1:50" x14ac:dyDescent="0.3">
      <c r="A85">
        <v>82</v>
      </c>
      <c r="B85">
        <v>0</v>
      </c>
      <c r="C85">
        <v>82</v>
      </c>
      <c r="D85" t="s">
        <v>291</v>
      </c>
      <c r="E85" t="s">
        <v>292</v>
      </c>
      <c r="F85" t="s">
        <v>58</v>
      </c>
      <c r="G85" t="s">
        <v>59</v>
      </c>
      <c r="H85" t="s">
        <v>59</v>
      </c>
      <c r="I85">
        <f t="shared" si="1"/>
        <v>1.5913779999827899</v>
      </c>
      <c r="J85" t="s">
        <v>293</v>
      </c>
      <c r="K85" t="s">
        <v>61</v>
      </c>
      <c r="L85">
        <v>82</v>
      </c>
      <c r="M85">
        <v>0</v>
      </c>
      <c r="N85">
        <v>82</v>
      </c>
      <c r="O85">
        <v>0</v>
      </c>
      <c r="P85">
        <v>182.97721510007901</v>
      </c>
      <c r="Z85">
        <v>10</v>
      </c>
      <c r="AA85">
        <v>182.95934609998901</v>
      </c>
      <c r="AB85">
        <v>182.97721510007901</v>
      </c>
      <c r="AC85">
        <v>182.97721510007901</v>
      </c>
      <c r="AD85">
        <v>4.1624899953603703E-2</v>
      </c>
      <c r="AE85">
        <v>184.55079800006899</v>
      </c>
      <c r="AF85" t="s">
        <v>291</v>
      </c>
      <c r="AG85" t="s">
        <v>292</v>
      </c>
      <c r="AH85" t="s">
        <v>58</v>
      </c>
      <c r="AI85" t="s">
        <v>59</v>
      </c>
      <c r="AJ85" t="s">
        <v>59</v>
      </c>
      <c r="AK85" t="s">
        <v>293</v>
      </c>
      <c r="AL85" t="s">
        <v>61</v>
      </c>
      <c r="AQ85" t="s">
        <v>51</v>
      </c>
      <c r="AR85">
        <v>1</v>
      </c>
      <c r="AS85" t="s">
        <v>52</v>
      </c>
      <c r="AT85" t="s">
        <v>53</v>
      </c>
      <c r="AV85" t="s">
        <v>54</v>
      </c>
      <c r="AW85">
        <v>59.798777114328601</v>
      </c>
      <c r="AX85" t="s">
        <v>55</v>
      </c>
    </row>
    <row r="86" spans="1:50" x14ac:dyDescent="0.3">
      <c r="A86">
        <v>83</v>
      </c>
      <c r="B86">
        <v>0</v>
      </c>
      <c r="C86">
        <v>83</v>
      </c>
      <c r="D86" t="s">
        <v>294</v>
      </c>
      <c r="E86" t="s">
        <v>295</v>
      </c>
      <c r="F86" t="s">
        <v>58</v>
      </c>
      <c r="G86" t="s">
        <v>59</v>
      </c>
      <c r="H86" t="s">
        <v>59</v>
      </c>
      <c r="I86">
        <f t="shared" si="1"/>
        <v>1.9798370000207699</v>
      </c>
      <c r="J86" t="s">
        <v>296</v>
      </c>
      <c r="K86" t="s">
        <v>61</v>
      </c>
      <c r="L86">
        <v>83</v>
      </c>
      <c r="M86">
        <v>0</v>
      </c>
      <c r="N86">
        <v>83</v>
      </c>
      <c r="O86">
        <v>0</v>
      </c>
      <c r="P86">
        <v>184.58199880004301</v>
      </c>
      <c r="Z86">
        <v>5</v>
      </c>
      <c r="AA86">
        <v>184.571553300018</v>
      </c>
      <c r="AB86">
        <v>184.58199880004301</v>
      </c>
      <c r="AC86">
        <v>184.58199880004301</v>
      </c>
      <c r="AD86">
        <v>2.0615199930034502E-2</v>
      </c>
      <c r="AE86">
        <v>186.55149079998901</v>
      </c>
      <c r="AF86" t="s">
        <v>294</v>
      </c>
      <c r="AG86" t="s">
        <v>295</v>
      </c>
      <c r="AH86" t="s">
        <v>58</v>
      </c>
      <c r="AI86" t="s">
        <v>59</v>
      </c>
      <c r="AJ86" t="s">
        <v>59</v>
      </c>
      <c r="AK86" t="s">
        <v>296</v>
      </c>
      <c r="AL86" t="s">
        <v>61</v>
      </c>
      <c r="AQ86" t="s">
        <v>51</v>
      </c>
      <c r="AR86">
        <v>1</v>
      </c>
      <c r="AS86" t="s">
        <v>52</v>
      </c>
      <c r="AT86" t="s">
        <v>53</v>
      </c>
      <c r="AV86" t="s">
        <v>54</v>
      </c>
      <c r="AW86">
        <v>59.798777114328601</v>
      </c>
      <c r="AX86" t="s">
        <v>55</v>
      </c>
    </row>
    <row r="87" spans="1:50" x14ac:dyDescent="0.3">
      <c r="A87">
        <v>84</v>
      </c>
      <c r="B87">
        <v>0</v>
      </c>
      <c r="C87">
        <v>84</v>
      </c>
      <c r="D87" t="s">
        <v>297</v>
      </c>
      <c r="E87" t="s">
        <v>298</v>
      </c>
      <c r="F87" t="s">
        <v>58</v>
      </c>
      <c r="G87" t="s">
        <v>59</v>
      </c>
      <c r="H87" t="s">
        <v>59</v>
      </c>
      <c r="I87">
        <f t="shared" si="1"/>
        <v>1.5448793999385</v>
      </c>
      <c r="J87" t="s">
        <v>299</v>
      </c>
      <c r="K87" t="s">
        <v>61</v>
      </c>
      <c r="L87">
        <v>84</v>
      </c>
      <c r="M87">
        <v>0</v>
      </c>
      <c r="N87">
        <v>84</v>
      </c>
      <c r="O87">
        <v>0</v>
      </c>
      <c r="P87">
        <v>186.57905210007399</v>
      </c>
      <c r="Z87">
        <v>5</v>
      </c>
      <c r="AA87">
        <v>186.57188490009801</v>
      </c>
      <c r="AB87">
        <v>186.57905210007399</v>
      </c>
      <c r="AC87">
        <v>186.57905210007399</v>
      </c>
      <c r="AD87">
        <v>2.0216100034303901E-2</v>
      </c>
      <c r="AE87">
        <v>188.11689240008101</v>
      </c>
      <c r="AF87" t="s">
        <v>297</v>
      </c>
      <c r="AG87" t="s">
        <v>298</v>
      </c>
      <c r="AH87" t="s">
        <v>58</v>
      </c>
      <c r="AI87" t="s">
        <v>59</v>
      </c>
      <c r="AJ87" t="s">
        <v>59</v>
      </c>
      <c r="AK87" t="s">
        <v>299</v>
      </c>
      <c r="AL87" t="s">
        <v>61</v>
      </c>
      <c r="AQ87" t="s">
        <v>51</v>
      </c>
      <c r="AR87">
        <v>1</v>
      </c>
      <c r="AS87" t="s">
        <v>52</v>
      </c>
      <c r="AT87" t="s">
        <v>53</v>
      </c>
      <c r="AV87" t="s">
        <v>54</v>
      </c>
      <c r="AW87">
        <v>59.798777114328601</v>
      </c>
      <c r="AX87" t="s">
        <v>55</v>
      </c>
    </row>
    <row r="88" spans="1:50" x14ac:dyDescent="0.3">
      <c r="A88">
        <v>85</v>
      </c>
      <c r="B88">
        <v>0</v>
      </c>
      <c r="C88">
        <v>85</v>
      </c>
      <c r="D88" t="s">
        <v>237</v>
      </c>
      <c r="E88" t="s">
        <v>300</v>
      </c>
      <c r="F88" t="s">
        <v>58</v>
      </c>
      <c r="G88" t="s">
        <v>59</v>
      </c>
      <c r="H88" t="s">
        <v>59</v>
      </c>
      <c r="I88">
        <f t="shared" si="1"/>
        <v>1.4167093998985301</v>
      </c>
      <c r="J88" t="s">
        <v>301</v>
      </c>
      <c r="K88" t="s">
        <v>61</v>
      </c>
      <c r="L88">
        <v>85</v>
      </c>
      <c r="M88">
        <v>0</v>
      </c>
      <c r="N88">
        <v>85</v>
      </c>
      <c r="O88">
        <v>0</v>
      </c>
      <c r="P88">
        <v>188.18283310008701</v>
      </c>
      <c r="Z88">
        <v>10</v>
      </c>
      <c r="AA88">
        <v>188.16672580002299</v>
      </c>
      <c r="AB88">
        <v>188.18283310008701</v>
      </c>
      <c r="AC88">
        <v>188.18283310008701</v>
      </c>
      <c r="AD88">
        <v>4.96151000261306E-2</v>
      </c>
      <c r="AE88">
        <v>189.58350950002199</v>
      </c>
      <c r="AF88" t="s">
        <v>237</v>
      </c>
      <c r="AG88" t="s">
        <v>300</v>
      </c>
      <c r="AH88" t="s">
        <v>58</v>
      </c>
      <c r="AI88" t="s">
        <v>59</v>
      </c>
      <c r="AJ88" t="s">
        <v>59</v>
      </c>
      <c r="AK88" t="s">
        <v>301</v>
      </c>
      <c r="AL88" t="s">
        <v>61</v>
      </c>
      <c r="AQ88" t="s">
        <v>51</v>
      </c>
      <c r="AR88">
        <v>1</v>
      </c>
      <c r="AS88" t="s">
        <v>52</v>
      </c>
      <c r="AT88" t="s">
        <v>53</v>
      </c>
      <c r="AV88" t="s">
        <v>54</v>
      </c>
      <c r="AW88">
        <v>59.798777114328601</v>
      </c>
      <c r="AX88" t="s">
        <v>55</v>
      </c>
    </row>
    <row r="89" spans="1:50" x14ac:dyDescent="0.3">
      <c r="A89">
        <v>86</v>
      </c>
      <c r="B89">
        <v>0</v>
      </c>
      <c r="C89">
        <v>86</v>
      </c>
      <c r="D89" t="s">
        <v>302</v>
      </c>
      <c r="E89" t="s">
        <v>303</v>
      </c>
      <c r="F89" t="s">
        <v>58</v>
      </c>
      <c r="G89" t="s">
        <v>59</v>
      </c>
      <c r="H89" t="s">
        <v>59</v>
      </c>
      <c r="I89">
        <f t="shared" si="1"/>
        <v>2.38620309997349</v>
      </c>
      <c r="J89" t="s">
        <v>304</v>
      </c>
      <c r="K89" t="s">
        <v>61</v>
      </c>
      <c r="L89">
        <v>86</v>
      </c>
      <c r="M89">
        <v>0</v>
      </c>
      <c r="N89">
        <v>86</v>
      </c>
      <c r="O89">
        <v>0</v>
      </c>
      <c r="P89">
        <v>189.62635470007001</v>
      </c>
      <c r="Z89">
        <v>10</v>
      </c>
      <c r="AA89">
        <v>189.61452629999201</v>
      </c>
      <c r="AB89">
        <v>189.62635470007001</v>
      </c>
      <c r="AC89">
        <v>189.62635470007001</v>
      </c>
      <c r="AD89">
        <v>3.08055999921634E-2</v>
      </c>
      <c r="AE89">
        <v>192.00085700000599</v>
      </c>
      <c r="AF89" t="s">
        <v>302</v>
      </c>
      <c r="AG89" t="s">
        <v>303</v>
      </c>
      <c r="AH89" t="s">
        <v>58</v>
      </c>
      <c r="AI89" t="s">
        <v>59</v>
      </c>
      <c r="AJ89" t="s">
        <v>59</v>
      </c>
      <c r="AK89" t="s">
        <v>304</v>
      </c>
      <c r="AL89" t="s">
        <v>61</v>
      </c>
      <c r="AQ89" t="s">
        <v>51</v>
      </c>
      <c r="AR89">
        <v>1</v>
      </c>
      <c r="AS89" t="s">
        <v>52</v>
      </c>
      <c r="AT89" t="s">
        <v>53</v>
      </c>
      <c r="AV89" t="s">
        <v>54</v>
      </c>
      <c r="AW89">
        <v>59.798777114328601</v>
      </c>
      <c r="AX89" t="s">
        <v>55</v>
      </c>
    </row>
    <row r="90" spans="1:50" x14ac:dyDescent="0.3">
      <c r="A90">
        <v>87</v>
      </c>
      <c r="B90">
        <v>0</v>
      </c>
      <c r="C90">
        <v>87</v>
      </c>
      <c r="D90" t="s">
        <v>305</v>
      </c>
      <c r="E90" t="s">
        <v>306</v>
      </c>
      <c r="F90" t="s">
        <v>58</v>
      </c>
      <c r="G90" t="s">
        <v>59</v>
      </c>
      <c r="H90" t="s">
        <v>59</v>
      </c>
      <c r="I90">
        <f t="shared" si="1"/>
        <v>1.47217620001174</v>
      </c>
      <c r="J90" t="s">
        <v>307</v>
      </c>
      <c r="K90" t="s">
        <v>61</v>
      </c>
      <c r="L90">
        <v>87</v>
      </c>
      <c r="M90">
        <v>0</v>
      </c>
      <c r="N90">
        <v>87</v>
      </c>
      <c r="O90">
        <v>0</v>
      </c>
      <c r="P90">
        <v>192.03842960007</v>
      </c>
      <c r="Z90">
        <v>5</v>
      </c>
      <c r="AA90">
        <v>192.02794000005801</v>
      </c>
      <c r="AB90">
        <v>192.03842960007</v>
      </c>
      <c r="AC90">
        <v>192.03842960007</v>
      </c>
      <c r="AD90">
        <v>2.6835499913431701E-2</v>
      </c>
      <c r="AE90">
        <v>193.50021140009599</v>
      </c>
      <c r="AF90" t="s">
        <v>305</v>
      </c>
      <c r="AG90" t="s">
        <v>306</v>
      </c>
      <c r="AH90" t="s">
        <v>58</v>
      </c>
      <c r="AI90" t="s">
        <v>59</v>
      </c>
      <c r="AJ90" t="s">
        <v>59</v>
      </c>
      <c r="AK90" t="s">
        <v>307</v>
      </c>
      <c r="AL90" t="s">
        <v>61</v>
      </c>
      <c r="AQ90" t="s">
        <v>51</v>
      </c>
      <c r="AR90">
        <v>1</v>
      </c>
      <c r="AS90" t="s">
        <v>52</v>
      </c>
      <c r="AT90" t="s">
        <v>53</v>
      </c>
      <c r="AV90" t="s">
        <v>54</v>
      </c>
      <c r="AW90">
        <v>59.798777114328601</v>
      </c>
      <c r="AX90" t="s">
        <v>55</v>
      </c>
    </row>
    <row r="91" spans="1:50" x14ac:dyDescent="0.3">
      <c r="A91">
        <v>88</v>
      </c>
      <c r="B91">
        <v>0</v>
      </c>
      <c r="C91">
        <v>88</v>
      </c>
      <c r="D91" t="s">
        <v>308</v>
      </c>
      <c r="E91" t="s">
        <v>309</v>
      </c>
      <c r="F91" t="s">
        <v>58</v>
      </c>
      <c r="G91" t="s">
        <v>59</v>
      </c>
      <c r="H91" t="s">
        <v>59</v>
      </c>
      <c r="I91">
        <f t="shared" si="1"/>
        <v>2.2633791000116599</v>
      </c>
      <c r="J91" t="s">
        <v>310</v>
      </c>
      <c r="K91" t="s">
        <v>61</v>
      </c>
      <c r="L91">
        <v>88</v>
      </c>
      <c r="M91">
        <v>0</v>
      </c>
      <c r="N91">
        <v>88</v>
      </c>
      <c r="O91">
        <v>0</v>
      </c>
      <c r="P91">
        <v>193.52707350009501</v>
      </c>
      <c r="Z91">
        <v>5</v>
      </c>
      <c r="AA91">
        <v>193.51954950007999</v>
      </c>
      <c r="AB91">
        <v>193.52707350009501</v>
      </c>
      <c r="AC91">
        <v>193.52707350009501</v>
      </c>
      <c r="AD91">
        <v>1.9207200035452801E-2</v>
      </c>
      <c r="AE91">
        <v>195.783064900082</v>
      </c>
      <c r="AF91" t="s">
        <v>308</v>
      </c>
      <c r="AG91" t="s">
        <v>309</v>
      </c>
      <c r="AH91" t="s">
        <v>58</v>
      </c>
      <c r="AI91" t="s">
        <v>59</v>
      </c>
      <c r="AJ91" t="s">
        <v>59</v>
      </c>
      <c r="AK91" t="s">
        <v>310</v>
      </c>
      <c r="AL91" t="s">
        <v>61</v>
      </c>
      <c r="AQ91" t="s">
        <v>51</v>
      </c>
      <c r="AR91">
        <v>1</v>
      </c>
      <c r="AS91" t="s">
        <v>52</v>
      </c>
      <c r="AT91" t="s">
        <v>53</v>
      </c>
      <c r="AV91" t="s">
        <v>54</v>
      </c>
      <c r="AW91">
        <v>59.798777114328601</v>
      </c>
      <c r="AX91" t="s">
        <v>55</v>
      </c>
    </row>
    <row r="92" spans="1:50" x14ac:dyDescent="0.3">
      <c r="A92">
        <v>89</v>
      </c>
      <c r="B92">
        <v>0</v>
      </c>
      <c r="C92">
        <v>89</v>
      </c>
      <c r="D92" t="s">
        <v>311</v>
      </c>
      <c r="E92" t="s">
        <v>312</v>
      </c>
      <c r="F92" t="s">
        <v>58</v>
      </c>
      <c r="G92" t="s">
        <v>59</v>
      </c>
      <c r="H92" t="s">
        <v>59</v>
      </c>
      <c r="I92">
        <f t="shared" si="1"/>
        <v>2.7575399999041101</v>
      </c>
      <c r="J92" t="s">
        <v>313</v>
      </c>
      <c r="K92" t="s">
        <v>61</v>
      </c>
      <c r="L92">
        <v>89</v>
      </c>
      <c r="M92">
        <v>0</v>
      </c>
      <c r="N92">
        <v>89</v>
      </c>
      <c r="O92">
        <v>0</v>
      </c>
      <c r="P92">
        <v>195.83996950008401</v>
      </c>
      <c r="Z92">
        <v>10</v>
      </c>
      <c r="AA92">
        <v>195.825645100092</v>
      </c>
      <c r="AB92">
        <v>195.83996950008401</v>
      </c>
      <c r="AC92">
        <v>195.83996950008401</v>
      </c>
      <c r="AD92">
        <v>4.2415700037963598E-2</v>
      </c>
      <c r="AE92">
        <v>198.583322299993</v>
      </c>
      <c r="AF92" t="s">
        <v>311</v>
      </c>
      <c r="AG92" t="s">
        <v>312</v>
      </c>
      <c r="AH92" t="s">
        <v>58</v>
      </c>
      <c r="AI92" t="s">
        <v>59</v>
      </c>
      <c r="AJ92" t="s">
        <v>59</v>
      </c>
      <c r="AK92" t="s">
        <v>313</v>
      </c>
      <c r="AL92" t="s">
        <v>61</v>
      </c>
      <c r="AQ92" t="s">
        <v>51</v>
      </c>
      <c r="AR92">
        <v>1</v>
      </c>
      <c r="AS92" t="s">
        <v>52</v>
      </c>
      <c r="AT92" t="s">
        <v>53</v>
      </c>
      <c r="AV92" t="s">
        <v>54</v>
      </c>
      <c r="AW92">
        <v>59.798777114328601</v>
      </c>
      <c r="AX92" t="s">
        <v>55</v>
      </c>
    </row>
    <row r="93" spans="1:50" x14ac:dyDescent="0.3">
      <c r="A93">
        <v>90</v>
      </c>
      <c r="B93">
        <v>0</v>
      </c>
      <c r="C93">
        <v>90</v>
      </c>
      <c r="D93" t="s">
        <v>314</v>
      </c>
      <c r="E93" t="s">
        <v>283</v>
      </c>
      <c r="F93" t="s">
        <v>58</v>
      </c>
      <c r="G93" t="s">
        <v>59</v>
      </c>
      <c r="H93" t="s">
        <v>59</v>
      </c>
      <c r="I93">
        <f t="shared" si="1"/>
        <v>1.9913972999202001</v>
      </c>
      <c r="J93" t="s">
        <v>315</v>
      </c>
      <c r="K93" t="s">
        <v>61</v>
      </c>
      <c r="L93">
        <v>90</v>
      </c>
      <c r="M93">
        <v>0</v>
      </c>
      <c r="N93">
        <v>90</v>
      </c>
      <c r="O93">
        <v>0</v>
      </c>
      <c r="P93">
        <v>198.62128960003599</v>
      </c>
      <c r="Z93">
        <v>5</v>
      </c>
      <c r="AA93">
        <v>198.609748700051</v>
      </c>
      <c r="AB93">
        <v>198.62128960003599</v>
      </c>
      <c r="AC93">
        <v>198.62128960003599</v>
      </c>
      <c r="AD93">
        <v>2.6141199981793699E-2</v>
      </c>
      <c r="AE93">
        <v>200.601350800017</v>
      </c>
      <c r="AF93" t="s">
        <v>314</v>
      </c>
      <c r="AG93" t="s">
        <v>283</v>
      </c>
      <c r="AH93" t="s">
        <v>58</v>
      </c>
      <c r="AI93" t="s">
        <v>59</v>
      </c>
      <c r="AJ93" t="s">
        <v>59</v>
      </c>
      <c r="AK93" t="s">
        <v>315</v>
      </c>
      <c r="AL93" t="s">
        <v>61</v>
      </c>
      <c r="AQ93" t="s">
        <v>51</v>
      </c>
      <c r="AR93">
        <v>1</v>
      </c>
      <c r="AS93" t="s">
        <v>52</v>
      </c>
      <c r="AT93" t="s">
        <v>53</v>
      </c>
      <c r="AV93" t="s">
        <v>54</v>
      </c>
      <c r="AW93">
        <v>59.798777114328601</v>
      </c>
      <c r="AX93" t="s">
        <v>55</v>
      </c>
    </row>
    <row r="94" spans="1:50" x14ac:dyDescent="0.3">
      <c r="A94">
        <v>91</v>
      </c>
      <c r="B94">
        <v>0</v>
      </c>
      <c r="C94">
        <v>91</v>
      </c>
      <c r="D94" t="s">
        <v>316</v>
      </c>
      <c r="E94" t="s">
        <v>317</v>
      </c>
      <c r="F94" t="s">
        <v>58</v>
      </c>
      <c r="G94" t="s">
        <v>59</v>
      </c>
      <c r="H94" t="s">
        <v>59</v>
      </c>
      <c r="I94">
        <f t="shared" si="1"/>
        <v>1.6352813999401401</v>
      </c>
      <c r="J94" t="s">
        <v>318</v>
      </c>
      <c r="K94" t="s">
        <v>61</v>
      </c>
      <c r="L94">
        <v>91</v>
      </c>
      <c r="M94">
        <v>0</v>
      </c>
      <c r="N94">
        <v>91</v>
      </c>
      <c r="O94">
        <v>0</v>
      </c>
      <c r="P94">
        <v>200.65951780008601</v>
      </c>
      <c r="Z94">
        <v>10</v>
      </c>
      <c r="AA94">
        <v>200.647138200001</v>
      </c>
      <c r="AB94">
        <v>200.65951780008601</v>
      </c>
      <c r="AC94">
        <v>200.65951780008601</v>
      </c>
      <c r="AD94">
        <v>4.5483599998988197E-2</v>
      </c>
      <c r="AE94">
        <v>202.28249890007999</v>
      </c>
      <c r="AF94" t="s">
        <v>316</v>
      </c>
      <c r="AG94" t="s">
        <v>317</v>
      </c>
      <c r="AH94" t="s">
        <v>58</v>
      </c>
      <c r="AI94" t="s">
        <v>59</v>
      </c>
      <c r="AJ94" t="s">
        <v>59</v>
      </c>
      <c r="AK94" t="s">
        <v>318</v>
      </c>
      <c r="AL94" t="s">
        <v>61</v>
      </c>
      <c r="AQ94" t="s">
        <v>51</v>
      </c>
      <c r="AR94">
        <v>1</v>
      </c>
      <c r="AS94" t="s">
        <v>52</v>
      </c>
      <c r="AT94" t="s">
        <v>53</v>
      </c>
      <c r="AV94" t="s">
        <v>54</v>
      </c>
      <c r="AW94">
        <v>59.798777114328601</v>
      </c>
      <c r="AX94" t="s">
        <v>55</v>
      </c>
    </row>
    <row r="95" spans="1:50" x14ac:dyDescent="0.3">
      <c r="A95">
        <v>92</v>
      </c>
      <c r="B95">
        <v>0</v>
      </c>
      <c r="C95">
        <v>92</v>
      </c>
      <c r="D95" t="s">
        <v>319</v>
      </c>
      <c r="E95" t="s">
        <v>320</v>
      </c>
      <c r="F95" t="s">
        <v>58</v>
      </c>
      <c r="G95" t="s">
        <v>59</v>
      </c>
      <c r="H95" t="s">
        <v>59</v>
      </c>
      <c r="I95">
        <f t="shared" si="1"/>
        <v>2.30699970002751</v>
      </c>
      <c r="J95" t="s">
        <v>321</v>
      </c>
      <c r="K95" t="s">
        <v>61</v>
      </c>
      <c r="L95">
        <v>92</v>
      </c>
      <c r="M95">
        <v>0</v>
      </c>
      <c r="N95">
        <v>92</v>
      </c>
      <c r="O95">
        <v>0</v>
      </c>
      <c r="P95">
        <v>202.33824810001499</v>
      </c>
      <c r="Z95">
        <v>10</v>
      </c>
      <c r="AA95">
        <v>202.32587060006301</v>
      </c>
      <c r="AB95">
        <v>202.33824810001499</v>
      </c>
      <c r="AC95">
        <v>202.33824810001499</v>
      </c>
      <c r="AD95">
        <v>4.3192300014197799E-2</v>
      </c>
      <c r="AE95">
        <v>204.63297000003499</v>
      </c>
      <c r="AF95" t="s">
        <v>319</v>
      </c>
      <c r="AG95" t="s">
        <v>320</v>
      </c>
      <c r="AH95" t="s">
        <v>58</v>
      </c>
      <c r="AI95" t="s">
        <v>59</v>
      </c>
      <c r="AJ95" t="s">
        <v>59</v>
      </c>
      <c r="AK95" t="s">
        <v>321</v>
      </c>
      <c r="AL95" t="s">
        <v>61</v>
      </c>
      <c r="AQ95" t="s">
        <v>51</v>
      </c>
      <c r="AR95">
        <v>1</v>
      </c>
      <c r="AS95" t="s">
        <v>52</v>
      </c>
      <c r="AT95" t="s">
        <v>53</v>
      </c>
      <c r="AV95" t="s">
        <v>54</v>
      </c>
      <c r="AW95">
        <v>59.798777114328601</v>
      </c>
      <c r="AX95" t="s">
        <v>55</v>
      </c>
    </row>
    <row r="96" spans="1:50" x14ac:dyDescent="0.3">
      <c r="A96">
        <v>93</v>
      </c>
      <c r="B96">
        <v>0</v>
      </c>
      <c r="C96">
        <v>93</v>
      </c>
      <c r="D96" t="s">
        <v>322</v>
      </c>
      <c r="E96" t="s">
        <v>121</v>
      </c>
      <c r="F96" t="s">
        <v>58</v>
      </c>
      <c r="G96" t="s">
        <v>59</v>
      </c>
      <c r="H96" t="s">
        <v>59</v>
      </c>
      <c r="I96">
        <f t="shared" si="1"/>
        <v>1.87373570003546</v>
      </c>
      <c r="J96" t="s">
        <v>323</v>
      </c>
      <c r="K96" t="s">
        <v>61</v>
      </c>
      <c r="L96">
        <v>93</v>
      </c>
      <c r="M96">
        <v>0</v>
      </c>
      <c r="N96">
        <v>93</v>
      </c>
      <c r="O96">
        <v>0</v>
      </c>
      <c r="P96">
        <v>204.66884130006599</v>
      </c>
      <c r="Z96">
        <v>5</v>
      </c>
      <c r="AA96">
        <v>204.65957330004301</v>
      </c>
      <c r="AB96">
        <v>204.66884130006599</v>
      </c>
      <c r="AC96">
        <v>204.66884130006599</v>
      </c>
      <c r="AD96">
        <v>2.6370599982328699E-2</v>
      </c>
      <c r="AE96">
        <v>206.53344020002899</v>
      </c>
      <c r="AF96" t="s">
        <v>322</v>
      </c>
      <c r="AG96" t="s">
        <v>121</v>
      </c>
      <c r="AH96" t="s">
        <v>58</v>
      </c>
      <c r="AI96" t="s">
        <v>59</v>
      </c>
      <c r="AJ96" t="s">
        <v>59</v>
      </c>
      <c r="AK96" t="s">
        <v>323</v>
      </c>
      <c r="AL96" t="s">
        <v>61</v>
      </c>
      <c r="AQ96" t="s">
        <v>51</v>
      </c>
      <c r="AR96">
        <v>1</v>
      </c>
      <c r="AS96" t="s">
        <v>52</v>
      </c>
      <c r="AT96" t="s">
        <v>53</v>
      </c>
      <c r="AV96" t="s">
        <v>54</v>
      </c>
      <c r="AW96">
        <v>59.798777114328601</v>
      </c>
      <c r="AX96" t="s">
        <v>55</v>
      </c>
    </row>
    <row r="97" spans="1:50" x14ac:dyDescent="0.3">
      <c r="A97">
        <v>94</v>
      </c>
      <c r="B97">
        <v>0</v>
      </c>
      <c r="C97">
        <v>94</v>
      </c>
      <c r="D97" t="s">
        <v>195</v>
      </c>
      <c r="E97" t="s">
        <v>324</v>
      </c>
      <c r="F97" t="s">
        <v>58</v>
      </c>
      <c r="G97" t="s">
        <v>59</v>
      </c>
      <c r="H97" t="s">
        <v>59</v>
      </c>
      <c r="I97">
        <f t="shared" si="1"/>
        <v>1.57293850008863</v>
      </c>
      <c r="J97" t="s">
        <v>325</v>
      </c>
      <c r="K97" t="s">
        <v>61</v>
      </c>
      <c r="L97">
        <v>94</v>
      </c>
      <c r="M97">
        <v>0</v>
      </c>
      <c r="N97">
        <v>94</v>
      </c>
      <c r="O97">
        <v>0</v>
      </c>
      <c r="P97">
        <v>206.56942020007401</v>
      </c>
      <c r="Z97">
        <v>5</v>
      </c>
      <c r="AA97">
        <v>206.55949850007801</v>
      </c>
      <c r="AB97">
        <v>206.56942020007401</v>
      </c>
      <c r="AC97">
        <v>206.56942020007401</v>
      </c>
      <c r="AD97">
        <v>2.5840799906291002E-2</v>
      </c>
      <c r="AE97">
        <v>208.13255550002199</v>
      </c>
      <c r="AF97" t="s">
        <v>195</v>
      </c>
      <c r="AG97" t="s">
        <v>324</v>
      </c>
      <c r="AH97" t="s">
        <v>58</v>
      </c>
      <c r="AI97" t="s">
        <v>59</v>
      </c>
      <c r="AJ97" t="s">
        <v>59</v>
      </c>
      <c r="AK97" t="s">
        <v>325</v>
      </c>
      <c r="AL97" t="s">
        <v>61</v>
      </c>
      <c r="AQ97" t="s">
        <v>51</v>
      </c>
      <c r="AR97">
        <v>1</v>
      </c>
      <c r="AS97" t="s">
        <v>52</v>
      </c>
      <c r="AT97" t="s">
        <v>53</v>
      </c>
      <c r="AV97" t="s">
        <v>54</v>
      </c>
      <c r="AW97">
        <v>59.798777114328601</v>
      </c>
      <c r="AX97" t="s">
        <v>55</v>
      </c>
    </row>
    <row r="98" spans="1:50" x14ac:dyDescent="0.3">
      <c r="A98">
        <v>95</v>
      </c>
      <c r="B98">
        <v>0</v>
      </c>
      <c r="C98">
        <v>95</v>
      </c>
      <c r="D98" t="s">
        <v>326</v>
      </c>
      <c r="E98" t="s">
        <v>327</v>
      </c>
      <c r="F98" t="s">
        <v>58</v>
      </c>
      <c r="G98" t="s">
        <v>59</v>
      </c>
      <c r="H98" t="s">
        <v>59</v>
      </c>
      <c r="I98">
        <f t="shared" si="1"/>
        <v>2.0032854999881202</v>
      </c>
      <c r="J98" t="s">
        <v>328</v>
      </c>
      <c r="K98" t="s">
        <v>61</v>
      </c>
      <c r="L98">
        <v>95</v>
      </c>
      <c r="M98">
        <v>0</v>
      </c>
      <c r="N98">
        <v>95</v>
      </c>
      <c r="O98">
        <v>0</v>
      </c>
      <c r="P98">
        <v>208.19101860001601</v>
      </c>
      <c r="Z98">
        <v>10</v>
      </c>
      <c r="AA98">
        <v>208.18003920000001</v>
      </c>
      <c r="AB98">
        <v>208.19101860001601</v>
      </c>
      <c r="AC98">
        <v>208.19101860001601</v>
      </c>
      <c r="AD98">
        <v>4.7261399915441801E-2</v>
      </c>
      <c r="AE98">
        <v>210.18351380003099</v>
      </c>
      <c r="AF98" t="s">
        <v>326</v>
      </c>
      <c r="AG98" t="s">
        <v>327</v>
      </c>
      <c r="AH98" t="s">
        <v>58</v>
      </c>
      <c r="AI98" t="s">
        <v>59</v>
      </c>
      <c r="AJ98" t="s">
        <v>59</v>
      </c>
      <c r="AK98" t="s">
        <v>328</v>
      </c>
      <c r="AL98" t="s">
        <v>61</v>
      </c>
      <c r="AQ98" t="s">
        <v>51</v>
      </c>
      <c r="AR98">
        <v>1</v>
      </c>
      <c r="AS98" t="s">
        <v>52</v>
      </c>
      <c r="AT98" t="s">
        <v>53</v>
      </c>
      <c r="AV98" t="s">
        <v>54</v>
      </c>
      <c r="AW98">
        <v>59.798777114328601</v>
      </c>
      <c r="AX98" t="s">
        <v>55</v>
      </c>
    </row>
    <row r="99" spans="1:50" x14ac:dyDescent="0.3">
      <c r="A99">
        <v>96</v>
      </c>
      <c r="B99">
        <v>0</v>
      </c>
      <c r="C99">
        <v>96</v>
      </c>
      <c r="D99" t="s">
        <v>329</v>
      </c>
      <c r="E99" t="s">
        <v>330</v>
      </c>
      <c r="F99" t="s">
        <v>58</v>
      </c>
      <c r="G99" t="s">
        <v>59</v>
      </c>
      <c r="H99" t="s">
        <v>59</v>
      </c>
      <c r="I99">
        <f t="shared" si="1"/>
        <v>2.3513974000234099</v>
      </c>
      <c r="J99" t="s">
        <v>331</v>
      </c>
      <c r="K99" t="s">
        <v>61</v>
      </c>
      <c r="L99">
        <v>96</v>
      </c>
      <c r="M99">
        <v>0</v>
      </c>
      <c r="N99">
        <v>96</v>
      </c>
      <c r="O99">
        <v>0</v>
      </c>
      <c r="P99">
        <v>210.22545490006399</v>
      </c>
      <c r="Z99">
        <v>5</v>
      </c>
      <c r="AA99">
        <v>210.215807800064</v>
      </c>
      <c r="AB99">
        <v>210.22545490006399</v>
      </c>
      <c r="AC99">
        <v>210.22545490006399</v>
      </c>
      <c r="AD99">
        <v>3.1846300000324797E-2</v>
      </c>
      <c r="AE99">
        <v>212.567410200019</v>
      </c>
      <c r="AF99" t="s">
        <v>329</v>
      </c>
      <c r="AG99" t="s">
        <v>330</v>
      </c>
      <c r="AH99" t="s">
        <v>58</v>
      </c>
      <c r="AI99" t="s">
        <v>59</v>
      </c>
      <c r="AJ99" t="s">
        <v>59</v>
      </c>
      <c r="AK99" t="s">
        <v>331</v>
      </c>
      <c r="AL99" t="s">
        <v>61</v>
      </c>
      <c r="AQ99" t="s">
        <v>51</v>
      </c>
      <c r="AR99">
        <v>1</v>
      </c>
      <c r="AS99" t="s">
        <v>52</v>
      </c>
      <c r="AT99" t="s">
        <v>53</v>
      </c>
      <c r="AV99" t="s">
        <v>54</v>
      </c>
      <c r="AW99">
        <v>59.798777114328601</v>
      </c>
      <c r="AX99" t="s">
        <v>55</v>
      </c>
    </row>
    <row r="100" spans="1:50" x14ac:dyDescent="0.3">
      <c r="A100">
        <v>97</v>
      </c>
      <c r="B100">
        <v>0</v>
      </c>
      <c r="C100">
        <v>97</v>
      </c>
      <c r="D100" t="s">
        <v>332</v>
      </c>
      <c r="E100" t="s">
        <v>333</v>
      </c>
      <c r="F100" t="s">
        <v>58</v>
      </c>
      <c r="G100" t="s">
        <v>59</v>
      </c>
      <c r="H100" t="s">
        <v>59</v>
      </c>
      <c r="I100">
        <f t="shared" si="1"/>
        <v>1.40548269997816</v>
      </c>
      <c r="J100" t="s">
        <v>334</v>
      </c>
      <c r="K100" t="s">
        <v>61</v>
      </c>
      <c r="L100">
        <v>97</v>
      </c>
      <c r="M100">
        <v>0</v>
      </c>
      <c r="N100">
        <v>97</v>
      </c>
      <c r="O100">
        <v>0</v>
      </c>
      <c r="P100">
        <v>212.60031750006601</v>
      </c>
      <c r="Z100">
        <v>5</v>
      </c>
      <c r="AA100">
        <v>212.59332300000801</v>
      </c>
      <c r="AB100">
        <v>212.60031750006601</v>
      </c>
      <c r="AC100">
        <v>212.60031750006601</v>
      </c>
      <c r="AD100">
        <v>2.5478699943050701E-2</v>
      </c>
      <c r="AE100">
        <v>213.99893100000901</v>
      </c>
      <c r="AF100" t="s">
        <v>332</v>
      </c>
      <c r="AG100" t="s">
        <v>333</v>
      </c>
      <c r="AH100" t="s">
        <v>58</v>
      </c>
      <c r="AI100" t="s">
        <v>59</v>
      </c>
      <c r="AJ100" t="s">
        <v>59</v>
      </c>
      <c r="AK100" t="s">
        <v>334</v>
      </c>
      <c r="AL100" t="s">
        <v>61</v>
      </c>
      <c r="AQ100" t="s">
        <v>51</v>
      </c>
      <c r="AR100">
        <v>1</v>
      </c>
      <c r="AS100" t="s">
        <v>52</v>
      </c>
      <c r="AT100" t="s">
        <v>53</v>
      </c>
      <c r="AV100" t="s">
        <v>54</v>
      </c>
      <c r="AW100">
        <v>59.798777114328601</v>
      </c>
      <c r="AX100" t="s">
        <v>55</v>
      </c>
    </row>
    <row r="101" spans="1:50" x14ac:dyDescent="0.3">
      <c r="A101">
        <v>98</v>
      </c>
      <c r="B101">
        <v>0</v>
      </c>
      <c r="C101">
        <v>98</v>
      </c>
      <c r="D101" t="s">
        <v>335</v>
      </c>
      <c r="E101" t="s">
        <v>336</v>
      </c>
      <c r="F101" t="s">
        <v>58</v>
      </c>
      <c r="G101" t="s">
        <v>59</v>
      </c>
      <c r="H101" t="s">
        <v>59</v>
      </c>
      <c r="I101">
        <f t="shared" si="1"/>
        <v>1.86079239996615</v>
      </c>
      <c r="J101" t="s">
        <v>337</v>
      </c>
      <c r="K101" t="s">
        <v>61</v>
      </c>
      <c r="L101">
        <v>98</v>
      </c>
      <c r="M101">
        <v>0</v>
      </c>
      <c r="N101">
        <v>98</v>
      </c>
      <c r="O101">
        <v>0</v>
      </c>
      <c r="P101">
        <v>214.029315800056</v>
      </c>
      <c r="Z101">
        <v>5</v>
      </c>
      <c r="AA101">
        <v>214.020345600089</v>
      </c>
      <c r="AB101">
        <v>214.029315800056</v>
      </c>
      <c r="AC101">
        <v>214.029315800056</v>
      </c>
      <c r="AD101">
        <v>2.1193400025367699E-2</v>
      </c>
      <c r="AE101">
        <v>215.881211900035</v>
      </c>
      <c r="AF101" t="s">
        <v>335</v>
      </c>
      <c r="AG101" t="s">
        <v>336</v>
      </c>
      <c r="AH101" t="s">
        <v>58</v>
      </c>
      <c r="AI101" t="s">
        <v>59</v>
      </c>
      <c r="AJ101" t="s">
        <v>59</v>
      </c>
      <c r="AK101" t="s">
        <v>337</v>
      </c>
      <c r="AL101" t="s">
        <v>61</v>
      </c>
      <c r="AQ101" t="s">
        <v>51</v>
      </c>
      <c r="AR101">
        <v>1</v>
      </c>
      <c r="AS101" t="s">
        <v>52</v>
      </c>
      <c r="AT101" t="s">
        <v>53</v>
      </c>
      <c r="AV101" t="s">
        <v>54</v>
      </c>
      <c r="AW101">
        <v>59.798777114328601</v>
      </c>
      <c r="AX101" t="s">
        <v>55</v>
      </c>
    </row>
    <row r="102" spans="1:50" x14ac:dyDescent="0.3">
      <c r="A102">
        <v>99</v>
      </c>
      <c r="B102">
        <v>0</v>
      </c>
      <c r="C102">
        <v>99</v>
      </c>
      <c r="D102" t="s">
        <v>131</v>
      </c>
      <c r="E102" t="s">
        <v>338</v>
      </c>
      <c r="F102" t="s">
        <v>58</v>
      </c>
      <c r="G102" t="s">
        <v>59</v>
      </c>
      <c r="H102" t="s">
        <v>59</v>
      </c>
      <c r="I102">
        <f t="shared" si="1"/>
        <v>1.6682133999420301</v>
      </c>
      <c r="J102" t="s">
        <v>339</v>
      </c>
      <c r="K102" t="s">
        <v>61</v>
      </c>
      <c r="L102">
        <v>99</v>
      </c>
      <c r="M102">
        <v>0</v>
      </c>
      <c r="N102">
        <v>99</v>
      </c>
      <c r="O102">
        <v>0</v>
      </c>
      <c r="P102">
        <v>215.90522690000901</v>
      </c>
      <c r="Z102">
        <v>5</v>
      </c>
      <c r="AA102">
        <v>215.89705310005201</v>
      </c>
      <c r="AB102">
        <v>215.90522690000901</v>
      </c>
      <c r="AC102">
        <v>215.90522690000901</v>
      </c>
      <c r="AD102">
        <v>1.5737299923785E-2</v>
      </c>
      <c r="AE102">
        <v>217.56538250006199</v>
      </c>
      <c r="AF102" t="s">
        <v>131</v>
      </c>
      <c r="AG102" t="s">
        <v>338</v>
      </c>
      <c r="AH102" t="s">
        <v>58</v>
      </c>
      <c r="AI102" t="s">
        <v>59</v>
      </c>
      <c r="AJ102" t="s">
        <v>59</v>
      </c>
      <c r="AK102" t="s">
        <v>339</v>
      </c>
      <c r="AL102" t="s">
        <v>61</v>
      </c>
      <c r="AQ102" t="s">
        <v>51</v>
      </c>
      <c r="AR102">
        <v>1</v>
      </c>
      <c r="AS102" t="s">
        <v>52</v>
      </c>
      <c r="AT102" t="s">
        <v>53</v>
      </c>
      <c r="AV102" t="s">
        <v>54</v>
      </c>
      <c r="AW102">
        <v>59.798777114328601</v>
      </c>
      <c r="AX102" t="s">
        <v>55</v>
      </c>
    </row>
    <row r="103" spans="1:50" x14ac:dyDescent="0.3">
      <c r="A103">
        <v>100</v>
      </c>
      <c r="B103">
        <v>0</v>
      </c>
      <c r="C103">
        <v>100</v>
      </c>
      <c r="D103" t="s">
        <v>340</v>
      </c>
      <c r="E103" t="s">
        <v>341</v>
      </c>
      <c r="F103" t="s">
        <v>58</v>
      </c>
      <c r="G103" t="s">
        <v>59</v>
      </c>
      <c r="H103" t="s">
        <v>59</v>
      </c>
      <c r="I103">
        <f t="shared" si="1"/>
        <v>1.6728411000221901</v>
      </c>
      <c r="J103" t="s">
        <v>342</v>
      </c>
      <c r="K103" t="s">
        <v>61</v>
      </c>
      <c r="L103">
        <v>100</v>
      </c>
      <c r="M103">
        <v>0</v>
      </c>
      <c r="N103">
        <v>100</v>
      </c>
      <c r="O103">
        <v>0</v>
      </c>
      <c r="P103">
        <v>217.60503400000701</v>
      </c>
      <c r="Z103">
        <v>5</v>
      </c>
      <c r="AA103">
        <v>217.592330200015</v>
      </c>
      <c r="AB103">
        <v>217.60503400000701</v>
      </c>
      <c r="AC103">
        <v>217.60503400000701</v>
      </c>
      <c r="AD103">
        <v>2.67254000063985E-2</v>
      </c>
      <c r="AE103">
        <v>219.26525280007601</v>
      </c>
      <c r="AF103" t="s">
        <v>340</v>
      </c>
      <c r="AG103" t="s">
        <v>341</v>
      </c>
      <c r="AH103" t="s">
        <v>58</v>
      </c>
      <c r="AI103" t="s">
        <v>59</v>
      </c>
      <c r="AJ103" t="s">
        <v>59</v>
      </c>
      <c r="AK103" t="s">
        <v>342</v>
      </c>
      <c r="AL103" t="s">
        <v>61</v>
      </c>
      <c r="AQ103" t="s">
        <v>51</v>
      </c>
      <c r="AR103">
        <v>1</v>
      </c>
      <c r="AS103" t="s">
        <v>52</v>
      </c>
      <c r="AT103" t="s">
        <v>53</v>
      </c>
      <c r="AV103" t="s">
        <v>54</v>
      </c>
      <c r="AW103">
        <v>59.798777114328601</v>
      </c>
      <c r="AX103" t="s">
        <v>55</v>
      </c>
    </row>
    <row r="104" spans="1:50" x14ac:dyDescent="0.3">
      <c r="A104">
        <v>101</v>
      </c>
      <c r="B104">
        <v>0</v>
      </c>
      <c r="C104">
        <v>101</v>
      </c>
      <c r="D104" t="s">
        <v>343</v>
      </c>
      <c r="E104" t="s">
        <v>215</v>
      </c>
      <c r="F104" t="s">
        <v>58</v>
      </c>
      <c r="G104" t="s">
        <v>59</v>
      </c>
      <c r="H104" t="s">
        <v>59</v>
      </c>
      <c r="I104">
        <f t="shared" si="1"/>
        <v>1.7437844000523901</v>
      </c>
      <c r="J104" t="s">
        <v>344</v>
      </c>
      <c r="K104" t="s">
        <v>61</v>
      </c>
      <c r="L104">
        <v>101</v>
      </c>
      <c r="M104">
        <v>0</v>
      </c>
      <c r="N104">
        <v>101</v>
      </c>
      <c r="O104">
        <v>0</v>
      </c>
      <c r="P104">
        <v>219.298845899989</v>
      </c>
      <c r="Z104">
        <v>5</v>
      </c>
      <c r="AA104">
        <v>219.288983600097</v>
      </c>
      <c r="AB104">
        <v>219.298845899989</v>
      </c>
      <c r="AC104">
        <v>219.298845899989</v>
      </c>
      <c r="AD104">
        <v>2.3528299992904001E-2</v>
      </c>
      <c r="AE104">
        <v>221.03293830004901</v>
      </c>
      <c r="AF104" t="s">
        <v>343</v>
      </c>
      <c r="AG104" t="s">
        <v>215</v>
      </c>
      <c r="AH104" t="s">
        <v>58</v>
      </c>
      <c r="AI104" t="s">
        <v>59</v>
      </c>
      <c r="AJ104" t="s">
        <v>59</v>
      </c>
      <c r="AK104" t="s">
        <v>344</v>
      </c>
      <c r="AL104" t="s">
        <v>61</v>
      </c>
      <c r="AQ104" t="s">
        <v>51</v>
      </c>
      <c r="AR104">
        <v>1</v>
      </c>
      <c r="AS104" t="s">
        <v>52</v>
      </c>
      <c r="AT104" t="s">
        <v>53</v>
      </c>
      <c r="AV104" t="s">
        <v>54</v>
      </c>
      <c r="AW104">
        <v>59.798777114328601</v>
      </c>
      <c r="AX104" t="s">
        <v>55</v>
      </c>
    </row>
    <row r="105" spans="1:50" x14ac:dyDescent="0.3">
      <c r="A105">
        <v>102</v>
      </c>
      <c r="B105">
        <v>0</v>
      </c>
      <c r="C105">
        <v>102</v>
      </c>
      <c r="D105" t="s">
        <v>345</v>
      </c>
      <c r="E105" t="s">
        <v>346</v>
      </c>
      <c r="F105" t="s">
        <v>58</v>
      </c>
      <c r="G105" t="s">
        <v>59</v>
      </c>
      <c r="H105" t="s">
        <v>59</v>
      </c>
      <c r="I105">
        <f t="shared" si="1"/>
        <v>1.88643720000982</v>
      </c>
      <c r="J105" t="s">
        <v>347</v>
      </c>
      <c r="K105" t="s">
        <v>61</v>
      </c>
      <c r="L105">
        <v>102</v>
      </c>
      <c r="M105">
        <v>0</v>
      </c>
      <c r="N105">
        <v>102</v>
      </c>
      <c r="O105">
        <v>0</v>
      </c>
      <c r="P105">
        <v>221.07625300006401</v>
      </c>
      <c r="Z105">
        <v>5</v>
      </c>
      <c r="AA105">
        <v>221.06202599999901</v>
      </c>
      <c r="AB105">
        <v>221.07625300006401</v>
      </c>
      <c r="AC105">
        <v>221.07625300006401</v>
      </c>
      <c r="AD105">
        <v>2.88680000230669E-2</v>
      </c>
      <c r="AE105">
        <v>222.94855600001699</v>
      </c>
      <c r="AF105" t="s">
        <v>345</v>
      </c>
      <c r="AG105" t="s">
        <v>346</v>
      </c>
      <c r="AH105" t="s">
        <v>58</v>
      </c>
      <c r="AI105" t="s">
        <v>59</v>
      </c>
      <c r="AJ105" t="s">
        <v>59</v>
      </c>
      <c r="AK105" t="s">
        <v>347</v>
      </c>
      <c r="AL105" t="s">
        <v>61</v>
      </c>
      <c r="AQ105" t="s">
        <v>51</v>
      </c>
      <c r="AR105">
        <v>1</v>
      </c>
      <c r="AS105" t="s">
        <v>52</v>
      </c>
      <c r="AT105" t="s">
        <v>53</v>
      </c>
      <c r="AV105" t="s">
        <v>54</v>
      </c>
      <c r="AW105">
        <v>59.798777114328601</v>
      </c>
      <c r="AX105" t="s">
        <v>55</v>
      </c>
    </row>
    <row r="106" spans="1:50" x14ac:dyDescent="0.3">
      <c r="A106">
        <v>103</v>
      </c>
      <c r="B106">
        <v>0</v>
      </c>
      <c r="C106">
        <v>103</v>
      </c>
      <c r="D106" t="s">
        <v>266</v>
      </c>
      <c r="E106" t="s">
        <v>348</v>
      </c>
      <c r="F106" t="s">
        <v>58</v>
      </c>
      <c r="G106" t="s">
        <v>59</v>
      </c>
      <c r="H106" t="s">
        <v>59</v>
      </c>
      <c r="I106">
        <f t="shared" si="1"/>
        <v>1.50298069999553</v>
      </c>
      <c r="J106" t="s">
        <v>349</v>
      </c>
      <c r="K106" t="s">
        <v>61</v>
      </c>
      <c r="L106">
        <v>103</v>
      </c>
      <c r="M106">
        <v>0</v>
      </c>
      <c r="N106">
        <v>103</v>
      </c>
      <c r="O106">
        <v>0</v>
      </c>
      <c r="P106">
        <v>222.993084500078</v>
      </c>
      <c r="Z106">
        <v>10</v>
      </c>
      <c r="AA106">
        <v>222.97903899999801</v>
      </c>
      <c r="AB106">
        <v>222.993084500078</v>
      </c>
      <c r="AC106">
        <v>222.993084500078</v>
      </c>
      <c r="AD106">
        <v>3.02908000303432E-2</v>
      </c>
      <c r="AE106">
        <v>224.48219670006</v>
      </c>
      <c r="AF106" t="s">
        <v>266</v>
      </c>
      <c r="AG106" t="s">
        <v>348</v>
      </c>
      <c r="AH106" t="s">
        <v>58</v>
      </c>
      <c r="AI106" t="s">
        <v>59</v>
      </c>
      <c r="AJ106" t="s">
        <v>59</v>
      </c>
      <c r="AK106" t="s">
        <v>349</v>
      </c>
      <c r="AL106" t="s">
        <v>61</v>
      </c>
      <c r="AQ106" t="s">
        <v>51</v>
      </c>
      <c r="AR106">
        <v>1</v>
      </c>
      <c r="AS106" t="s">
        <v>52</v>
      </c>
      <c r="AT106" t="s">
        <v>53</v>
      </c>
      <c r="AV106" t="s">
        <v>54</v>
      </c>
      <c r="AW106">
        <v>59.798777114328601</v>
      </c>
      <c r="AX106" t="s">
        <v>55</v>
      </c>
    </row>
    <row r="107" spans="1:50" x14ac:dyDescent="0.3">
      <c r="A107">
        <v>104</v>
      </c>
      <c r="B107">
        <v>0</v>
      </c>
      <c r="C107">
        <v>104</v>
      </c>
      <c r="D107" t="s">
        <v>345</v>
      </c>
      <c r="E107" t="s">
        <v>350</v>
      </c>
      <c r="F107" t="s">
        <v>58</v>
      </c>
      <c r="G107" t="s">
        <v>59</v>
      </c>
      <c r="H107" t="s">
        <v>59</v>
      </c>
      <c r="I107">
        <f t="shared" si="1"/>
        <v>1.75122430000919</v>
      </c>
      <c r="J107" t="s">
        <v>351</v>
      </c>
      <c r="K107" t="s">
        <v>61</v>
      </c>
      <c r="L107">
        <v>104</v>
      </c>
      <c r="M107">
        <v>0</v>
      </c>
      <c r="N107">
        <v>104</v>
      </c>
      <c r="O107">
        <v>0</v>
      </c>
      <c r="P107">
        <v>224.524989000055</v>
      </c>
      <c r="Z107">
        <v>5</v>
      </c>
      <c r="AA107">
        <v>224.514063000096</v>
      </c>
      <c r="AB107">
        <v>224.524989000055</v>
      </c>
      <c r="AC107">
        <v>224.524989000055</v>
      </c>
      <c r="AD107">
        <v>3.1424999935552402E-2</v>
      </c>
      <c r="AE107">
        <v>226.26538540003801</v>
      </c>
      <c r="AF107" t="s">
        <v>345</v>
      </c>
      <c r="AG107" t="s">
        <v>350</v>
      </c>
      <c r="AH107" t="s">
        <v>58</v>
      </c>
      <c r="AI107" t="s">
        <v>59</v>
      </c>
      <c r="AJ107" t="s">
        <v>59</v>
      </c>
      <c r="AK107" t="s">
        <v>351</v>
      </c>
      <c r="AL107" t="s">
        <v>61</v>
      </c>
      <c r="AQ107" t="s">
        <v>51</v>
      </c>
      <c r="AR107">
        <v>1</v>
      </c>
      <c r="AS107" t="s">
        <v>52</v>
      </c>
      <c r="AT107" t="s">
        <v>53</v>
      </c>
      <c r="AV107" t="s">
        <v>54</v>
      </c>
      <c r="AW107">
        <v>59.798777114328601</v>
      </c>
      <c r="AX107" t="s">
        <v>55</v>
      </c>
    </row>
    <row r="108" spans="1:50" x14ac:dyDescent="0.3">
      <c r="A108">
        <v>105</v>
      </c>
      <c r="B108">
        <v>0</v>
      </c>
      <c r="C108">
        <v>105</v>
      </c>
      <c r="D108" t="s">
        <v>352</v>
      </c>
      <c r="E108" t="s">
        <v>353</v>
      </c>
      <c r="F108" t="s">
        <v>58</v>
      </c>
      <c r="G108" t="s">
        <v>59</v>
      </c>
      <c r="H108" t="s">
        <v>59</v>
      </c>
      <c r="I108">
        <f t="shared" si="1"/>
        <v>2.16838639997877</v>
      </c>
      <c r="J108" t="s">
        <v>354</v>
      </c>
      <c r="K108" t="s">
        <v>61</v>
      </c>
      <c r="L108">
        <v>105</v>
      </c>
      <c r="M108">
        <v>0</v>
      </c>
      <c r="N108">
        <v>105</v>
      </c>
      <c r="O108">
        <v>0</v>
      </c>
      <c r="P108">
        <v>226.28696820000101</v>
      </c>
      <c r="Z108">
        <v>5</v>
      </c>
      <c r="AA108">
        <v>226.27933230006599</v>
      </c>
      <c r="AB108">
        <v>226.28696820000101</v>
      </c>
      <c r="AC108">
        <v>226.28696820000101</v>
      </c>
      <c r="AD108">
        <v>1.38335000956431E-2</v>
      </c>
      <c r="AE108">
        <v>228.44783540000199</v>
      </c>
      <c r="AF108" t="s">
        <v>352</v>
      </c>
      <c r="AG108" t="s">
        <v>353</v>
      </c>
      <c r="AH108" t="s">
        <v>58</v>
      </c>
      <c r="AI108" t="s">
        <v>59</v>
      </c>
      <c r="AJ108" t="s">
        <v>59</v>
      </c>
      <c r="AK108" t="s">
        <v>354</v>
      </c>
      <c r="AL108" t="s">
        <v>61</v>
      </c>
      <c r="AQ108" t="s">
        <v>51</v>
      </c>
      <c r="AR108">
        <v>1</v>
      </c>
      <c r="AS108" t="s">
        <v>52</v>
      </c>
      <c r="AT108" t="s">
        <v>53</v>
      </c>
      <c r="AV108" t="s">
        <v>54</v>
      </c>
      <c r="AW108">
        <v>59.798777114328601</v>
      </c>
      <c r="AX108" t="s">
        <v>55</v>
      </c>
    </row>
    <row r="109" spans="1:50" x14ac:dyDescent="0.3">
      <c r="A109">
        <v>106</v>
      </c>
      <c r="B109">
        <v>0</v>
      </c>
      <c r="C109">
        <v>106</v>
      </c>
      <c r="D109" t="s">
        <v>355</v>
      </c>
      <c r="E109" t="s">
        <v>356</v>
      </c>
      <c r="F109" t="s">
        <v>58</v>
      </c>
      <c r="G109" t="s">
        <v>59</v>
      </c>
      <c r="H109" t="s">
        <v>59</v>
      </c>
      <c r="I109">
        <f t="shared" si="1"/>
        <v>2.05487380002159</v>
      </c>
      <c r="J109" t="s">
        <v>357</v>
      </c>
      <c r="K109" t="s">
        <v>61</v>
      </c>
      <c r="L109">
        <v>106</v>
      </c>
      <c r="M109">
        <v>0</v>
      </c>
      <c r="N109">
        <v>106</v>
      </c>
      <c r="O109">
        <v>0</v>
      </c>
      <c r="P109">
        <v>228.48985110002101</v>
      </c>
      <c r="Z109">
        <v>5</v>
      </c>
      <c r="AA109">
        <v>228.476864000083</v>
      </c>
      <c r="AB109">
        <v>228.48985110002101</v>
      </c>
      <c r="AC109">
        <v>228.48985110002101</v>
      </c>
      <c r="AD109">
        <v>2.8803900000639201E-2</v>
      </c>
      <c r="AE109">
        <v>230.53190340008501</v>
      </c>
      <c r="AF109" t="s">
        <v>355</v>
      </c>
      <c r="AG109" t="s">
        <v>356</v>
      </c>
      <c r="AH109" t="s">
        <v>58</v>
      </c>
      <c r="AI109" t="s">
        <v>59</v>
      </c>
      <c r="AJ109" t="s">
        <v>59</v>
      </c>
      <c r="AK109" t="s">
        <v>357</v>
      </c>
      <c r="AL109" t="s">
        <v>61</v>
      </c>
      <c r="AQ109" t="s">
        <v>51</v>
      </c>
      <c r="AR109">
        <v>1</v>
      </c>
      <c r="AS109" t="s">
        <v>52</v>
      </c>
      <c r="AT109" t="s">
        <v>53</v>
      </c>
      <c r="AV109" t="s">
        <v>54</v>
      </c>
      <c r="AW109">
        <v>59.798777114328601</v>
      </c>
      <c r="AX109" t="s">
        <v>55</v>
      </c>
    </row>
    <row r="110" spans="1:50" x14ac:dyDescent="0.3">
      <c r="A110">
        <v>107</v>
      </c>
      <c r="B110">
        <v>0</v>
      </c>
      <c r="C110">
        <v>107</v>
      </c>
      <c r="D110" t="s">
        <v>358</v>
      </c>
      <c r="E110" t="s">
        <v>359</v>
      </c>
      <c r="F110" t="s">
        <v>58</v>
      </c>
      <c r="G110" t="s">
        <v>59</v>
      </c>
      <c r="H110" t="s">
        <v>59</v>
      </c>
      <c r="I110">
        <f t="shared" si="1"/>
        <v>2.1642929000081401</v>
      </c>
      <c r="J110" t="s">
        <v>360</v>
      </c>
      <c r="K110" t="s">
        <v>61</v>
      </c>
      <c r="L110">
        <v>107</v>
      </c>
      <c r="M110">
        <v>0</v>
      </c>
      <c r="N110">
        <v>107</v>
      </c>
      <c r="O110">
        <v>0</v>
      </c>
      <c r="P110">
        <v>230.60857530007999</v>
      </c>
      <c r="Z110">
        <v>10</v>
      </c>
      <c r="AA110">
        <v>230.58357070002199</v>
      </c>
      <c r="AB110">
        <v>230.60857530007999</v>
      </c>
      <c r="AC110">
        <v>230.60857530007999</v>
      </c>
      <c r="AD110">
        <v>5.1467400044202798E-2</v>
      </c>
      <c r="AE110">
        <v>232.747968500014</v>
      </c>
      <c r="AF110" t="s">
        <v>358</v>
      </c>
      <c r="AG110" t="s">
        <v>359</v>
      </c>
      <c r="AH110" t="s">
        <v>58</v>
      </c>
      <c r="AI110" t="s">
        <v>59</v>
      </c>
      <c r="AJ110" t="s">
        <v>59</v>
      </c>
      <c r="AK110" t="s">
        <v>360</v>
      </c>
      <c r="AL110" t="s">
        <v>61</v>
      </c>
      <c r="AQ110" t="s">
        <v>51</v>
      </c>
      <c r="AR110">
        <v>1</v>
      </c>
      <c r="AS110" t="s">
        <v>52</v>
      </c>
      <c r="AT110" t="s">
        <v>53</v>
      </c>
      <c r="AV110" t="s">
        <v>54</v>
      </c>
      <c r="AW110">
        <v>59.798777114328601</v>
      </c>
      <c r="AX110" t="s">
        <v>55</v>
      </c>
    </row>
    <row r="111" spans="1:50" x14ac:dyDescent="0.3">
      <c r="A111">
        <v>108</v>
      </c>
      <c r="B111">
        <v>0</v>
      </c>
      <c r="C111">
        <v>108</v>
      </c>
      <c r="D111" t="s">
        <v>361</v>
      </c>
      <c r="E111" t="s">
        <v>362</v>
      </c>
      <c r="F111" t="s">
        <v>58</v>
      </c>
      <c r="G111" t="s">
        <v>59</v>
      </c>
      <c r="H111" t="s">
        <v>59</v>
      </c>
      <c r="I111">
        <f t="shared" si="1"/>
        <v>1.65065650001633</v>
      </c>
      <c r="J111" t="s">
        <v>363</v>
      </c>
      <c r="K111" t="s">
        <v>61</v>
      </c>
      <c r="L111">
        <v>108</v>
      </c>
      <c r="M111">
        <v>0</v>
      </c>
      <c r="N111">
        <v>108</v>
      </c>
      <c r="O111">
        <v>0</v>
      </c>
      <c r="P111">
        <v>232.83306860004001</v>
      </c>
      <c r="Z111">
        <v>10</v>
      </c>
      <c r="AA111">
        <v>232.813492999994</v>
      </c>
      <c r="AB111">
        <v>232.83306860004001</v>
      </c>
      <c r="AC111">
        <v>232.83306860004001</v>
      </c>
      <c r="AD111">
        <v>6.5224300022237003E-2</v>
      </c>
      <c r="AE111">
        <v>234.46425930003099</v>
      </c>
      <c r="AF111" t="s">
        <v>361</v>
      </c>
      <c r="AG111" t="s">
        <v>362</v>
      </c>
      <c r="AH111" t="s">
        <v>58</v>
      </c>
      <c r="AI111" t="s">
        <v>59</v>
      </c>
      <c r="AJ111" t="s">
        <v>59</v>
      </c>
      <c r="AK111" t="s">
        <v>363</v>
      </c>
      <c r="AL111" t="s">
        <v>61</v>
      </c>
      <c r="AQ111" t="s">
        <v>51</v>
      </c>
      <c r="AR111">
        <v>1</v>
      </c>
      <c r="AS111" t="s">
        <v>52</v>
      </c>
      <c r="AT111" t="s">
        <v>53</v>
      </c>
      <c r="AV111" t="s">
        <v>54</v>
      </c>
      <c r="AW111">
        <v>59.798777114328601</v>
      </c>
      <c r="AX111" t="s">
        <v>55</v>
      </c>
    </row>
    <row r="112" spans="1:50" x14ac:dyDescent="0.3">
      <c r="A112">
        <v>109</v>
      </c>
      <c r="B112">
        <v>0</v>
      </c>
      <c r="C112">
        <v>109</v>
      </c>
      <c r="D112" t="s">
        <v>72</v>
      </c>
      <c r="E112" t="s">
        <v>364</v>
      </c>
      <c r="F112" t="s">
        <v>58</v>
      </c>
      <c r="G112" t="s">
        <v>59</v>
      </c>
      <c r="H112" t="s">
        <v>59</v>
      </c>
      <c r="I112">
        <f t="shared" si="1"/>
        <v>2.0472280000103602</v>
      </c>
      <c r="J112" t="s">
        <v>365</v>
      </c>
      <c r="K112" t="s">
        <v>61</v>
      </c>
      <c r="L112">
        <v>109</v>
      </c>
      <c r="M112">
        <v>0</v>
      </c>
      <c r="N112">
        <v>109</v>
      </c>
      <c r="O112">
        <v>0</v>
      </c>
      <c r="P112">
        <v>234.511105300043</v>
      </c>
      <c r="Z112">
        <v>10</v>
      </c>
      <c r="AA112">
        <v>234.50099750002801</v>
      </c>
      <c r="AB112">
        <v>234.511105300043</v>
      </c>
      <c r="AC112">
        <v>234.511105300043</v>
      </c>
      <c r="AD112">
        <v>3.6485499935224597E-2</v>
      </c>
      <c r="AE112">
        <v>236.54835100006301</v>
      </c>
      <c r="AF112" t="s">
        <v>72</v>
      </c>
      <c r="AG112" t="s">
        <v>364</v>
      </c>
      <c r="AH112" t="s">
        <v>58</v>
      </c>
      <c r="AI112" t="s">
        <v>59</v>
      </c>
      <c r="AJ112" t="s">
        <v>59</v>
      </c>
      <c r="AK112" t="s">
        <v>365</v>
      </c>
      <c r="AL112" t="s">
        <v>61</v>
      </c>
      <c r="AQ112" t="s">
        <v>51</v>
      </c>
      <c r="AR112">
        <v>1</v>
      </c>
      <c r="AS112" t="s">
        <v>52</v>
      </c>
      <c r="AT112" t="s">
        <v>53</v>
      </c>
      <c r="AV112" t="s">
        <v>54</v>
      </c>
      <c r="AW112">
        <v>59.798777114328601</v>
      </c>
      <c r="AX112" t="s">
        <v>55</v>
      </c>
    </row>
    <row r="113" spans="1:50" x14ac:dyDescent="0.3">
      <c r="A113">
        <v>110</v>
      </c>
      <c r="B113">
        <v>0</v>
      </c>
      <c r="C113">
        <v>110</v>
      </c>
      <c r="D113" t="s">
        <v>366</v>
      </c>
      <c r="E113" t="s">
        <v>367</v>
      </c>
      <c r="F113" t="s">
        <v>58</v>
      </c>
      <c r="G113" t="s">
        <v>59</v>
      </c>
      <c r="H113" t="s">
        <v>59</v>
      </c>
      <c r="I113">
        <f t="shared" si="1"/>
        <v>2.1499062998918799</v>
      </c>
      <c r="J113" t="s">
        <v>368</v>
      </c>
      <c r="K113" t="s">
        <v>61</v>
      </c>
      <c r="L113">
        <v>110</v>
      </c>
      <c r="M113">
        <v>0</v>
      </c>
      <c r="N113">
        <v>110</v>
      </c>
      <c r="O113">
        <v>0</v>
      </c>
      <c r="P113">
        <v>236.618338400032</v>
      </c>
      <c r="Z113">
        <v>10</v>
      </c>
      <c r="AA113">
        <v>236.59840100002401</v>
      </c>
      <c r="AB113">
        <v>236.618338400032</v>
      </c>
      <c r="AC113">
        <v>236.618338400032</v>
      </c>
      <c r="AD113">
        <v>4.9796500010415898E-2</v>
      </c>
      <c r="AE113">
        <v>238.748414700035</v>
      </c>
      <c r="AF113" t="s">
        <v>366</v>
      </c>
      <c r="AG113" t="s">
        <v>367</v>
      </c>
      <c r="AH113" t="s">
        <v>58</v>
      </c>
      <c r="AI113" t="s">
        <v>59</v>
      </c>
      <c r="AJ113" t="s">
        <v>59</v>
      </c>
      <c r="AK113" t="s">
        <v>368</v>
      </c>
      <c r="AL113" t="s">
        <v>61</v>
      </c>
      <c r="AQ113" t="s">
        <v>51</v>
      </c>
      <c r="AR113">
        <v>1</v>
      </c>
      <c r="AS113" t="s">
        <v>52</v>
      </c>
      <c r="AT113" t="s">
        <v>53</v>
      </c>
      <c r="AV113" t="s">
        <v>54</v>
      </c>
      <c r="AW113">
        <v>59.798777114328601</v>
      </c>
      <c r="AX113" t="s">
        <v>55</v>
      </c>
    </row>
    <row r="114" spans="1:50" x14ac:dyDescent="0.3">
      <c r="A114">
        <v>111</v>
      </c>
      <c r="B114">
        <v>0</v>
      </c>
      <c r="C114">
        <v>111</v>
      </c>
      <c r="D114" t="s">
        <v>87</v>
      </c>
      <c r="E114" t="s">
        <v>369</v>
      </c>
      <c r="F114" t="s">
        <v>58</v>
      </c>
      <c r="G114" t="s">
        <v>59</v>
      </c>
      <c r="H114" t="s">
        <v>59</v>
      </c>
      <c r="I114">
        <f t="shared" si="1"/>
        <v>1.7692133999662401</v>
      </c>
      <c r="J114" t="s">
        <v>370</v>
      </c>
      <c r="K114" t="s">
        <v>61</v>
      </c>
      <c r="L114">
        <v>111</v>
      </c>
      <c r="M114">
        <v>0</v>
      </c>
      <c r="N114">
        <v>111</v>
      </c>
      <c r="O114">
        <v>0</v>
      </c>
      <c r="P114">
        <v>238.80595000006701</v>
      </c>
      <c r="Z114">
        <v>10</v>
      </c>
      <c r="AA114">
        <v>238.79443810007001</v>
      </c>
      <c r="AB114">
        <v>238.80595000006701</v>
      </c>
      <c r="AC114">
        <v>238.80595000006701</v>
      </c>
      <c r="AD114">
        <v>4.5357299968600197E-2</v>
      </c>
      <c r="AE114">
        <v>240.563772200024</v>
      </c>
      <c r="AF114" t="s">
        <v>87</v>
      </c>
      <c r="AG114" t="s">
        <v>369</v>
      </c>
      <c r="AH114" t="s">
        <v>58</v>
      </c>
      <c r="AI114" t="s">
        <v>59</v>
      </c>
      <c r="AJ114" t="s">
        <v>59</v>
      </c>
      <c r="AK114" t="s">
        <v>370</v>
      </c>
      <c r="AL114" t="s">
        <v>61</v>
      </c>
      <c r="AQ114" t="s">
        <v>51</v>
      </c>
      <c r="AR114">
        <v>1</v>
      </c>
      <c r="AS114" t="s">
        <v>52</v>
      </c>
      <c r="AT114" t="s">
        <v>53</v>
      </c>
      <c r="AV114" t="s">
        <v>54</v>
      </c>
      <c r="AW114">
        <v>59.798777114328601</v>
      </c>
      <c r="AX114" t="s">
        <v>55</v>
      </c>
    </row>
    <row r="115" spans="1:50" x14ac:dyDescent="0.3">
      <c r="A115">
        <v>112</v>
      </c>
      <c r="B115">
        <v>0</v>
      </c>
      <c r="C115">
        <v>112</v>
      </c>
      <c r="D115" t="s">
        <v>371</v>
      </c>
      <c r="E115" t="s">
        <v>372</v>
      </c>
      <c r="F115" t="s">
        <v>58</v>
      </c>
      <c r="G115" t="s">
        <v>59</v>
      </c>
      <c r="H115" t="s">
        <v>59</v>
      </c>
      <c r="I115">
        <f t="shared" si="1"/>
        <v>2.26981720002368</v>
      </c>
      <c r="J115" t="s">
        <v>373</v>
      </c>
      <c r="K115" t="s">
        <v>61</v>
      </c>
      <c r="L115">
        <v>112</v>
      </c>
      <c r="M115">
        <v>0</v>
      </c>
      <c r="N115">
        <v>112</v>
      </c>
      <c r="O115">
        <v>0</v>
      </c>
      <c r="P115">
        <v>240.708230399992</v>
      </c>
      <c r="Z115">
        <v>5</v>
      </c>
      <c r="AA115">
        <v>240.69433309999201</v>
      </c>
      <c r="AB115">
        <v>240.708230399992</v>
      </c>
      <c r="AC115">
        <v>240.708230399992</v>
      </c>
      <c r="AD115">
        <v>0.13032959995325599</v>
      </c>
      <c r="AE115">
        <v>242.964231400052</v>
      </c>
      <c r="AF115" t="s">
        <v>371</v>
      </c>
      <c r="AG115" t="s">
        <v>372</v>
      </c>
      <c r="AH115" t="s">
        <v>58</v>
      </c>
      <c r="AI115" t="s">
        <v>59</v>
      </c>
      <c r="AJ115" t="s">
        <v>59</v>
      </c>
      <c r="AK115" t="s">
        <v>373</v>
      </c>
      <c r="AL115" t="s">
        <v>61</v>
      </c>
      <c r="AQ115" t="s">
        <v>51</v>
      </c>
      <c r="AR115">
        <v>1</v>
      </c>
      <c r="AS115" t="s">
        <v>52</v>
      </c>
      <c r="AT115" t="s">
        <v>53</v>
      </c>
      <c r="AV115" t="s">
        <v>54</v>
      </c>
      <c r="AW115">
        <v>59.798777114328601</v>
      </c>
      <c r="AX115" t="s">
        <v>55</v>
      </c>
    </row>
    <row r="116" spans="1:50" x14ac:dyDescent="0.3">
      <c r="A116">
        <v>113</v>
      </c>
      <c r="B116">
        <v>0</v>
      </c>
      <c r="C116">
        <v>113</v>
      </c>
      <c r="D116" t="s">
        <v>374</v>
      </c>
      <c r="E116" t="s">
        <v>375</v>
      </c>
      <c r="F116" t="s">
        <v>58</v>
      </c>
      <c r="G116" t="s">
        <v>59</v>
      </c>
      <c r="H116" t="s">
        <v>59</v>
      </c>
      <c r="I116">
        <f t="shared" si="1"/>
        <v>1.80666320002637</v>
      </c>
      <c r="J116" t="s">
        <v>376</v>
      </c>
      <c r="K116" t="s">
        <v>61</v>
      </c>
      <c r="L116">
        <v>113</v>
      </c>
      <c r="M116">
        <v>0</v>
      </c>
      <c r="N116">
        <v>113</v>
      </c>
      <c r="O116">
        <v>0</v>
      </c>
      <c r="P116">
        <v>243.00076490000299</v>
      </c>
      <c r="Z116">
        <v>5</v>
      </c>
      <c r="AA116">
        <v>242.99009970005099</v>
      </c>
      <c r="AB116">
        <v>243.00076490000299</v>
      </c>
      <c r="AC116">
        <v>243.00076490000299</v>
      </c>
      <c r="AD116">
        <v>2.56851000012829E-2</v>
      </c>
      <c r="AE116">
        <v>244.796869800076</v>
      </c>
      <c r="AF116" t="s">
        <v>374</v>
      </c>
      <c r="AG116" t="s">
        <v>375</v>
      </c>
      <c r="AH116" t="s">
        <v>58</v>
      </c>
      <c r="AI116" t="s">
        <v>59</v>
      </c>
      <c r="AJ116" t="s">
        <v>59</v>
      </c>
      <c r="AK116" t="s">
        <v>376</v>
      </c>
      <c r="AL116" t="s">
        <v>61</v>
      </c>
      <c r="AQ116" t="s">
        <v>51</v>
      </c>
      <c r="AR116">
        <v>1</v>
      </c>
      <c r="AS116" t="s">
        <v>52</v>
      </c>
      <c r="AT116" t="s">
        <v>53</v>
      </c>
      <c r="AV116" t="s">
        <v>54</v>
      </c>
      <c r="AW116">
        <v>59.798777114328601</v>
      </c>
      <c r="AX116" t="s">
        <v>55</v>
      </c>
    </row>
    <row r="117" spans="1:50" x14ac:dyDescent="0.3">
      <c r="A117">
        <v>114</v>
      </c>
      <c r="B117">
        <v>0</v>
      </c>
      <c r="C117">
        <v>114</v>
      </c>
      <c r="D117" t="s">
        <v>377</v>
      </c>
      <c r="E117" t="s">
        <v>378</v>
      </c>
      <c r="F117" t="s">
        <v>58</v>
      </c>
      <c r="G117" t="s">
        <v>59</v>
      </c>
      <c r="H117" t="s">
        <v>59</v>
      </c>
      <c r="I117">
        <f t="shared" si="1"/>
        <v>2.1318932999856699</v>
      </c>
      <c r="J117" t="s">
        <v>379</v>
      </c>
      <c r="K117" t="s">
        <v>61</v>
      </c>
      <c r="L117">
        <v>114</v>
      </c>
      <c r="M117">
        <v>0</v>
      </c>
      <c r="N117">
        <v>114</v>
      </c>
      <c r="O117">
        <v>0</v>
      </c>
      <c r="P117">
        <v>244.868463700055</v>
      </c>
      <c r="Z117">
        <v>10</v>
      </c>
      <c r="AA117">
        <v>244.848819300066</v>
      </c>
      <c r="AB117">
        <v>244.868463700055</v>
      </c>
      <c r="AC117">
        <v>244.868463700055</v>
      </c>
      <c r="AD117">
        <v>5.1712900050915701E-2</v>
      </c>
      <c r="AE117">
        <v>246.98080900008699</v>
      </c>
      <c r="AF117" t="s">
        <v>377</v>
      </c>
      <c r="AG117" t="s">
        <v>378</v>
      </c>
      <c r="AH117" t="s">
        <v>58</v>
      </c>
      <c r="AI117" t="s">
        <v>59</v>
      </c>
      <c r="AJ117" t="s">
        <v>59</v>
      </c>
      <c r="AK117" t="s">
        <v>379</v>
      </c>
      <c r="AL117" t="s">
        <v>61</v>
      </c>
      <c r="AQ117" t="s">
        <v>51</v>
      </c>
      <c r="AR117">
        <v>1</v>
      </c>
      <c r="AS117" t="s">
        <v>52</v>
      </c>
      <c r="AT117" t="s">
        <v>53</v>
      </c>
      <c r="AV117" t="s">
        <v>54</v>
      </c>
      <c r="AW117">
        <v>59.798777114328601</v>
      </c>
      <c r="AX117" t="s">
        <v>55</v>
      </c>
    </row>
    <row r="118" spans="1:50" x14ac:dyDescent="0.3">
      <c r="A118">
        <v>115</v>
      </c>
      <c r="B118">
        <v>0</v>
      </c>
      <c r="C118">
        <v>115</v>
      </c>
      <c r="D118" t="s">
        <v>380</v>
      </c>
      <c r="E118" t="s">
        <v>316</v>
      </c>
      <c r="F118" t="s">
        <v>58</v>
      </c>
      <c r="G118" t="s">
        <v>59</v>
      </c>
      <c r="H118" t="s">
        <v>59</v>
      </c>
      <c r="I118">
        <f t="shared" si="1"/>
        <v>1.9371718000620599</v>
      </c>
      <c r="J118" t="s">
        <v>381</v>
      </c>
      <c r="K118" t="s">
        <v>61</v>
      </c>
      <c r="L118">
        <v>115</v>
      </c>
      <c r="M118">
        <v>0</v>
      </c>
      <c r="N118">
        <v>115</v>
      </c>
      <c r="O118">
        <v>0</v>
      </c>
      <c r="P118">
        <v>247.023663300089</v>
      </c>
      <c r="Z118">
        <v>10</v>
      </c>
      <c r="AA118">
        <v>247.009300200035</v>
      </c>
      <c r="AB118">
        <v>247.023663300089</v>
      </c>
      <c r="AC118">
        <v>247.023663300089</v>
      </c>
      <c r="AD118">
        <v>2.82390000065788E-2</v>
      </c>
      <c r="AE118">
        <v>248.946588700055</v>
      </c>
      <c r="AF118" t="s">
        <v>380</v>
      </c>
      <c r="AG118" t="s">
        <v>316</v>
      </c>
      <c r="AH118" t="s">
        <v>58</v>
      </c>
      <c r="AI118" t="s">
        <v>59</v>
      </c>
      <c r="AJ118" t="s">
        <v>59</v>
      </c>
      <c r="AK118" t="s">
        <v>381</v>
      </c>
      <c r="AL118" t="s">
        <v>61</v>
      </c>
      <c r="AQ118" t="s">
        <v>51</v>
      </c>
      <c r="AR118">
        <v>1</v>
      </c>
      <c r="AS118" t="s">
        <v>52</v>
      </c>
      <c r="AT118" t="s">
        <v>53</v>
      </c>
      <c r="AV118" t="s">
        <v>54</v>
      </c>
      <c r="AW118">
        <v>59.798777114328601</v>
      </c>
      <c r="AX118" t="s">
        <v>55</v>
      </c>
    </row>
    <row r="119" spans="1:50" x14ac:dyDescent="0.3">
      <c r="A119">
        <v>116</v>
      </c>
      <c r="B119">
        <v>0</v>
      </c>
      <c r="C119">
        <v>116</v>
      </c>
      <c r="D119" t="s">
        <v>382</v>
      </c>
      <c r="E119" t="s">
        <v>238</v>
      </c>
      <c r="F119" t="s">
        <v>58</v>
      </c>
      <c r="G119" t="s">
        <v>59</v>
      </c>
      <c r="H119" t="s">
        <v>59</v>
      </c>
      <c r="I119">
        <f t="shared" si="1"/>
        <v>2.1422155000036498</v>
      </c>
      <c r="J119" t="s">
        <v>383</v>
      </c>
      <c r="K119" t="s">
        <v>61</v>
      </c>
      <c r="L119">
        <v>116</v>
      </c>
      <c r="M119">
        <v>0</v>
      </c>
      <c r="N119">
        <v>116</v>
      </c>
      <c r="O119">
        <v>0</v>
      </c>
      <c r="P119">
        <v>248.98583100002699</v>
      </c>
      <c r="Z119">
        <v>5</v>
      </c>
      <c r="AA119">
        <v>248.97248850006099</v>
      </c>
      <c r="AB119">
        <v>248.98583100002699</v>
      </c>
      <c r="AC119">
        <v>248.98583100002699</v>
      </c>
      <c r="AD119">
        <v>2.56471000611782E-2</v>
      </c>
      <c r="AE119">
        <v>251.11492240009801</v>
      </c>
      <c r="AF119" t="s">
        <v>382</v>
      </c>
      <c r="AG119" t="s">
        <v>238</v>
      </c>
      <c r="AH119" t="s">
        <v>58</v>
      </c>
      <c r="AI119" t="s">
        <v>59</v>
      </c>
      <c r="AJ119" t="s">
        <v>59</v>
      </c>
      <c r="AK119" t="s">
        <v>383</v>
      </c>
      <c r="AL119" t="s">
        <v>61</v>
      </c>
      <c r="AQ119" t="s">
        <v>51</v>
      </c>
      <c r="AR119">
        <v>1</v>
      </c>
      <c r="AS119" t="s">
        <v>52</v>
      </c>
      <c r="AT119" t="s">
        <v>53</v>
      </c>
      <c r="AV119" t="s">
        <v>54</v>
      </c>
      <c r="AW119">
        <v>59.798777114328601</v>
      </c>
      <c r="AX119" t="s">
        <v>55</v>
      </c>
    </row>
    <row r="120" spans="1:50" x14ac:dyDescent="0.3">
      <c r="A120">
        <v>117</v>
      </c>
      <c r="B120">
        <v>0</v>
      </c>
      <c r="C120">
        <v>117</v>
      </c>
      <c r="D120" t="s">
        <v>172</v>
      </c>
      <c r="E120" t="s">
        <v>384</v>
      </c>
      <c r="F120" t="s">
        <v>58</v>
      </c>
      <c r="G120" t="s">
        <v>59</v>
      </c>
      <c r="H120" t="s">
        <v>59</v>
      </c>
      <c r="I120">
        <f t="shared" si="1"/>
        <v>1.1719341001007699</v>
      </c>
      <c r="J120" t="s">
        <v>385</v>
      </c>
      <c r="K120" t="s">
        <v>61</v>
      </c>
      <c r="L120">
        <v>117</v>
      </c>
      <c r="M120">
        <v>0</v>
      </c>
      <c r="N120">
        <v>117</v>
      </c>
      <c r="O120">
        <v>0</v>
      </c>
      <c r="P120">
        <v>251.153906800085</v>
      </c>
      <c r="Z120">
        <v>5</v>
      </c>
      <c r="AA120">
        <v>251.14255980006399</v>
      </c>
      <c r="AB120">
        <v>251.153906800085</v>
      </c>
      <c r="AC120">
        <v>251.153906800085</v>
      </c>
      <c r="AD120">
        <v>2.7319499989971501E-2</v>
      </c>
      <c r="AE120">
        <v>252.31466080003801</v>
      </c>
      <c r="AF120" t="s">
        <v>172</v>
      </c>
      <c r="AG120" t="s">
        <v>384</v>
      </c>
      <c r="AH120" t="s">
        <v>58</v>
      </c>
      <c r="AI120" t="s">
        <v>59</v>
      </c>
      <c r="AJ120" t="s">
        <v>59</v>
      </c>
      <c r="AK120" t="s">
        <v>385</v>
      </c>
      <c r="AL120" t="s">
        <v>61</v>
      </c>
      <c r="AQ120" t="s">
        <v>51</v>
      </c>
      <c r="AR120">
        <v>1</v>
      </c>
      <c r="AS120" t="s">
        <v>52</v>
      </c>
      <c r="AT120" t="s">
        <v>53</v>
      </c>
      <c r="AV120" t="s">
        <v>54</v>
      </c>
      <c r="AW120">
        <v>59.798777114328601</v>
      </c>
      <c r="AX120" t="s">
        <v>55</v>
      </c>
    </row>
    <row r="121" spans="1:50" x14ac:dyDescent="0.3">
      <c r="A121">
        <v>118</v>
      </c>
      <c r="B121">
        <v>0</v>
      </c>
      <c r="C121">
        <v>118</v>
      </c>
      <c r="D121" t="s">
        <v>386</v>
      </c>
      <c r="E121" t="s">
        <v>387</v>
      </c>
      <c r="F121" t="s">
        <v>58</v>
      </c>
      <c r="G121" t="s">
        <v>59</v>
      </c>
      <c r="H121" t="s">
        <v>59</v>
      </c>
      <c r="I121">
        <f t="shared" si="1"/>
        <v>1.5765804999973601</v>
      </c>
      <c r="J121" t="s">
        <v>388</v>
      </c>
      <c r="K121" t="s">
        <v>61</v>
      </c>
      <c r="L121">
        <v>118</v>
      </c>
      <c r="M121">
        <v>0</v>
      </c>
      <c r="N121">
        <v>118</v>
      </c>
      <c r="O121">
        <v>0</v>
      </c>
      <c r="P121">
        <v>252.384070300031</v>
      </c>
      <c r="Z121">
        <v>10</v>
      </c>
      <c r="AA121">
        <v>252.37023870006601</v>
      </c>
      <c r="AB121">
        <v>252.384070300031</v>
      </c>
      <c r="AC121">
        <v>252.384070300031</v>
      </c>
      <c r="AD121">
        <v>5.5140199954621397E-2</v>
      </c>
      <c r="AE121">
        <v>253.94692070002199</v>
      </c>
      <c r="AF121" t="s">
        <v>386</v>
      </c>
      <c r="AG121" t="s">
        <v>387</v>
      </c>
      <c r="AH121" t="s">
        <v>58</v>
      </c>
      <c r="AI121" t="s">
        <v>59</v>
      </c>
      <c r="AJ121" t="s">
        <v>59</v>
      </c>
      <c r="AK121" t="s">
        <v>388</v>
      </c>
      <c r="AL121" t="s">
        <v>61</v>
      </c>
      <c r="AQ121" t="s">
        <v>51</v>
      </c>
      <c r="AR121">
        <v>1</v>
      </c>
      <c r="AS121" t="s">
        <v>52</v>
      </c>
      <c r="AT121" t="s">
        <v>53</v>
      </c>
      <c r="AV121" t="s">
        <v>54</v>
      </c>
      <c r="AW121">
        <v>59.798777114328601</v>
      </c>
      <c r="AX121" t="s">
        <v>55</v>
      </c>
    </row>
    <row r="122" spans="1:50" x14ac:dyDescent="0.3">
      <c r="A122">
        <v>119</v>
      </c>
      <c r="B122">
        <v>0</v>
      </c>
      <c r="C122">
        <v>119</v>
      </c>
      <c r="D122" t="s">
        <v>389</v>
      </c>
      <c r="E122" t="s">
        <v>390</v>
      </c>
      <c r="F122" t="s">
        <v>58</v>
      </c>
      <c r="G122" t="s">
        <v>59</v>
      </c>
      <c r="H122" t="s">
        <v>59</v>
      </c>
      <c r="I122">
        <f t="shared" si="1"/>
        <v>1.7575202999869299</v>
      </c>
      <c r="J122" t="s">
        <v>391</v>
      </c>
      <c r="K122" t="s">
        <v>61</v>
      </c>
      <c r="L122">
        <v>119</v>
      </c>
      <c r="M122">
        <v>0</v>
      </c>
      <c r="N122">
        <v>119</v>
      </c>
      <c r="O122">
        <v>0</v>
      </c>
      <c r="P122">
        <v>253.982897100038</v>
      </c>
      <c r="Z122">
        <v>5</v>
      </c>
      <c r="AA122">
        <v>253.972815999994</v>
      </c>
      <c r="AB122">
        <v>253.982897100038</v>
      </c>
      <c r="AC122">
        <v>253.982897100038</v>
      </c>
      <c r="AD122">
        <v>2.5600899942219198E-2</v>
      </c>
      <c r="AE122">
        <v>255.730431800009</v>
      </c>
      <c r="AF122" t="s">
        <v>389</v>
      </c>
      <c r="AG122" t="s">
        <v>390</v>
      </c>
      <c r="AH122" t="s">
        <v>58</v>
      </c>
      <c r="AI122" t="s">
        <v>59</v>
      </c>
      <c r="AJ122" t="s">
        <v>59</v>
      </c>
      <c r="AK122" t="s">
        <v>391</v>
      </c>
      <c r="AL122" t="s">
        <v>61</v>
      </c>
      <c r="AQ122" t="s">
        <v>51</v>
      </c>
      <c r="AR122">
        <v>1</v>
      </c>
      <c r="AS122" t="s">
        <v>52</v>
      </c>
      <c r="AT122" t="s">
        <v>53</v>
      </c>
      <c r="AV122" t="s">
        <v>54</v>
      </c>
      <c r="AW122">
        <v>59.798777114328601</v>
      </c>
      <c r="AX122" t="s">
        <v>55</v>
      </c>
    </row>
    <row r="123" spans="1:50" x14ac:dyDescent="0.3">
      <c r="A123">
        <v>120</v>
      </c>
      <c r="B123">
        <v>0</v>
      </c>
      <c r="C123">
        <v>120</v>
      </c>
      <c r="D123" t="s">
        <v>392</v>
      </c>
      <c r="E123" t="s">
        <v>393</v>
      </c>
      <c r="F123" t="s">
        <v>58</v>
      </c>
      <c r="G123" t="s">
        <v>59</v>
      </c>
      <c r="H123" t="s">
        <v>59</v>
      </c>
      <c r="I123">
        <f t="shared" si="1"/>
        <v>1.44448279996868</v>
      </c>
      <c r="J123" t="s">
        <v>394</v>
      </c>
      <c r="K123" t="s">
        <v>61</v>
      </c>
      <c r="L123">
        <v>120</v>
      </c>
      <c r="M123">
        <v>0</v>
      </c>
      <c r="N123">
        <v>120</v>
      </c>
      <c r="O123">
        <v>0</v>
      </c>
      <c r="P123">
        <v>255.75881190004199</v>
      </c>
      <c r="Z123">
        <v>5</v>
      </c>
      <c r="AA123">
        <v>255.75173270003799</v>
      </c>
      <c r="AB123">
        <v>255.75881190004199</v>
      </c>
      <c r="AC123">
        <v>255.75881190004199</v>
      </c>
      <c r="AD123">
        <v>2.11123999906703E-2</v>
      </c>
      <c r="AE123">
        <v>257.19629710004602</v>
      </c>
      <c r="AF123" t="s">
        <v>392</v>
      </c>
      <c r="AG123" t="s">
        <v>393</v>
      </c>
      <c r="AH123" t="s">
        <v>58</v>
      </c>
      <c r="AI123" t="s">
        <v>59</v>
      </c>
      <c r="AJ123" t="s">
        <v>59</v>
      </c>
      <c r="AK123" t="s">
        <v>394</v>
      </c>
      <c r="AL123" t="s">
        <v>61</v>
      </c>
      <c r="AQ123" t="s">
        <v>51</v>
      </c>
      <c r="AR123">
        <v>1</v>
      </c>
      <c r="AS123" t="s">
        <v>52</v>
      </c>
      <c r="AT123" t="s">
        <v>53</v>
      </c>
      <c r="AV123" t="s">
        <v>54</v>
      </c>
      <c r="AW123">
        <v>59.798777114328601</v>
      </c>
      <c r="AX123" t="s">
        <v>55</v>
      </c>
    </row>
    <row r="124" spans="1:50" x14ac:dyDescent="0.3">
      <c r="A124">
        <v>121</v>
      </c>
      <c r="B124">
        <v>0</v>
      </c>
      <c r="C124">
        <v>121</v>
      </c>
      <c r="D124" t="s">
        <v>395</v>
      </c>
      <c r="E124" t="s">
        <v>396</v>
      </c>
      <c r="F124" t="s">
        <v>58</v>
      </c>
      <c r="G124" t="s">
        <v>59</v>
      </c>
      <c r="H124" t="s">
        <v>59</v>
      </c>
      <c r="I124">
        <f t="shared" si="1"/>
        <v>1.4227659000316599</v>
      </c>
      <c r="J124" t="s">
        <v>397</v>
      </c>
      <c r="K124" t="s">
        <v>61</v>
      </c>
      <c r="L124">
        <v>121</v>
      </c>
      <c r="M124">
        <v>0</v>
      </c>
      <c r="N124">
        <v>121</v>
      </c>
      <c r="O124">
        <v>0</v>
      </c>
      <c r="P124">
        <v>257.23514770006199</v>
      </c>
      <c r="Z124">
        <v>10</v>
      </c>
      <c r="AA124">
        <v>257.22351340006497</v>
      </c>
      <c r="AB124">
        <v>257.23514770006199</v>
      </c>
      <c r="AC124">
        <v>257.23514770006199</v>
      </c>
      <c r="AD124">
        <v>2.70628000143915E-2</v>
      </c>
      <c r="AE124">
        <v>258.64640840003199</v>
      </c>
      <c r="AF124" t="s">
        <v>395</v>
      </c>
      <c r="AG124" t="s">
        <v>396</v>
      </c>
      <c r="AH124" t="s">
        <v>58</v>
      </c>
      <c r="AI124" t="s">
        <v>59</v>
      </c>
      <c r="AJ124" t="s">
        <v>59</v>
      </c>
      <c r="AK124" t="s">
        <v>397</v>
      </c>
      <c r="AL124" t="s">
        <v>61</v>
      </c>
      <c r="AQ124" t="s">
        <v>51</v>
      </c>
      <c r="AR124">
        <v>1</v>
      </c>
      <c r="AS124" t="s">
        <v>52</v>
      </c>
      <c r="AT124" t="s">
        <v>53</v>
      </c>
      <c r="AV124" t="s">
        <v>54</v>
      </c>
      <c r="AW124">
        <v>59.798777114328601</v>
      </c>
      <c r="AX124" t="s">
        <v>55</v>
      </c>
    </row>
    <row r="125" spans="1:50" x14ac:dyDescent="0.3">
      <c r="A125">
        <v>122</v>
      </c>
      <c r="B125">
        <v>0</v>
      </c>
      <c r="C125">
        <v>122</v>
      </c>
      <c r="D125" t="s">
        <v>398</v>
      </c>
      <c r="E125" t="s">
        <v>399</v>
      </c>
      <c r="F125" t="s">
        <v>58</v>
      </c>
      <c r="G125" t="s">
        <v>59</v>
      </c>
      <c r="H125" t="s">
        <v>59</v>
      </c>
      <c r="I125">
        <f t="shared" si="1"/>
        <v>1.4582659999141401</v>
      </c>
      <c r="J125" t="s">
        <v>400</v>
      </c>
      <c r="K125" t="s">
        <v>61</v>
      </c>
      <c r="L125">
        <v>122</v>
      </c>
      <c r="M125">
        <v>0</v>
      </c>
      <c r="N125">
        <v>122</v>
      </c>
      <c r="O125">
        <v>0</v>
      </c>
      <c r="P125">
        <v>258.699725300073</v>
      </c>
      <c r="Z125">
        <v>10</v>
      </c>
      <c r="AA125">
        <v>258.68827879999299</v>
      </c>
      <c r="AB125">
        <v>258.699725300073</v>
      </c>
      <c r="AC125">
        <v>258.699725300073</v>
      </c>
      <c r="AD125">
        <v>4.1596599970944198E-2</v>
      </c>
      <c r="AE125">
        <v>260.14665830007198</v>
      </c>
      <c r="AF125" t="s">
        <v>398</v>
      </c>
      <c r="AG125" t="s">
        <v>399</v>
      </c>
      <c r="AH125" t="s">
        <v>58</v>
      </c>
      <c r="AI125" t="s">
        <v>59</v>
      </c>
      <c r="AJ125" t="s">
        <v>59</v>
      </c>
      <c r="AK125" t="s">
        <v>400</v>
      </c>
      <c r="AL125" t="s">
        <v>61</v>
      </c>
      <c r="AQ125" t="s">
        <v>51</v>
      </c>
      <c r="AR125">
        <v>1</v>
      </c>
      <c r="AS125" t="s">
        <v>52</v>
      </c>
      <c r="AT125" t="s">
        <v>53</v>
      </c>
      <c r="AV125" t="s">
        <v>54</v>
      </c>
      <c r="AW125">
        <v>59.798777114328601</v>
      </c>
      <c r="AX125" t="s">
        <v>55</v>
      </c>
    </row>
    <row r="126" spans="1:50" x14ac:dyDescent="0.3">
      <c r="A126">
        <v>123</v>
      </c>
      <c r="B126">
        <v>0</v>
      </c>
      <c r="C126">
        <v>123</v>
      </c>
      <c r="D126" t="s">
        <v>401</v>
      </c>
      <c r="E126" t="s">
        <v>402</v>
      </c>
      <c r="F126" t="s">
        <v>58</v>
      </c>
      <c r="G126" t="s">
        <v>59</v>
      </c>
      <c r="H126" t="s">
        <v>59</v>
      </c>
      <c r="J126" t="s">
        <v>403</v>
      </c>
      <c r="K126" t="s">
        <v>404</v>
      </c>
      <c r="L126">
        <v>123</v>
      </c>
      <c r="M126">
        <v>0</v>
      </c>
      <c r="N126">
        <v>123</v>
      </c>
      <c r="O126">
        <v>0</v>
      </c>
      <c r="P126">
        <v>260.185760400025</v>
      </c>
      <c r="Z126">
        <v>5</v>
      </c>
      <c r="AA126">
        <v>260.172553700045</v>
      </c>
      <c r="AB126">
        <v>260.185760400025</v>
      </c>
      <c r="AC126">
        <v>260.185760400025</v>
      </c>
      <c r="AD126">
        <v>2.5645400048233499E-2</v>
      </c>
      <c r="AE126">
        <v>261.61212210007898</v>
      </c>
      <c r="AF126" t="s">
        <v>401</v>
      </c>
      <c r="AG126" t="s">
        <v>402</v>
      </c>
      <c r="AH126" t="s">
        <v>58</v>
      </c>
      <c r="AI126" t="s">
        <v>59</v>
      </c>
      <c r="AJ126" t="s">
        <v>59</v>
      </c>
      <c r="AK126" t="s">
        <v>403</v>
      </c>
      <c r="AL126" t="s">
        <v>404</v>
      </c>
      <c r="AQ126" t="s">
        <v>51</v>
      </c>
      <c r="AR126">
        <v>1</v>
      </c>
      <c r="AS126" t="s">
        <v>52</v>
      </c>
      <c r="AT126" t="s">
        <v>53</v>
      </c>
      <c r="AV126" t="s">
        <v>54</v>
      </c>
      <c r="AW126">
        <v>59.798777114328601</v>
      </c>
      <c r="AX126" t="s">
        <v>55</v>
      </c>
    </row>
    <row r="127" spans="1:50" x14ac:dyDescent="0.3">
      <c r="A127">
        <v>124</v>
      </c>
      <c r="B127">
        <v>0</v>
      </c>
      <c r="C127">
        <v>124</v>
      </c>
      <c r="D127" t="s">
        <v>405</v>
      </c>
      <c r="E127" t="s">
        <v>406</v>
      </c>
      <c r="F127" t="s">
        <v>58</v>
      </c>
      <c r="G127" t="s">
        <v>59</v>
      </c>
      <c r="H127" t="s">
        <v>59</v>
      </c>
      <c r="I127">
        <f t="shared" ref="I127:I145" si="2">VALUE(SUBSTITUTE(SUBSTITUTE(J127,"[",""),"]",""))</f>
        <v>1.6043762000044799</v>
      </c>
      <c r="J127" t="s">
        <v>407</v>
      </c>
      <c r="K127" t="s">
        <v>61</v>
      </c>
      <c r="L127">
        <v>124</v>
      </c>
      <c r="M127">
        <v>0</v>
      </c>
      <c r="N127">
        <v>124</v>
      </c>
      <c r="O127">
        <v>0</v>
      </c>
      <c r="P127">
        <v>261.63221619999899</v>
      </c>
      <c r="Z127">
        <v>5</v>
      </c>
      <c r="AA127">
        <v>261.624561300035</v>
      </c>
      <c r="AB127">
        <v>261.63221619999899</v>
      </c>
      <c r="AC127">
        <v>261.63221619999899</v>
      </c>
      <c r="AD127">
        <v>1.23185000848025E-2</v>
      </c>
      <c r="AE127">
        <v>263.22906779998402</v>
      </c>
      <c r="AF127" t="s">
        <v>405</v>
      </c>
      <c r="AG127" t="s">
        <v>406</v>
      </c>
      <c r="AH127" t="s">
        <v>58</v>
      </c>
      <c r="AI127" t="s">
        <v>59</v>
      </c>
      <c r="AJ127" t="s">
        <v>59</v>
      </c>
      <c r="AK127" t="s">
        <v>407</v>
      </c>
      <c r="AL127" t="s">
        <v>61</v>
      </c>
      <c r="AQ127" t="s">
        <v>51</v>
      </c>
      <c r="AR127">
        <v>1</v>
      </c>
      <c r="AS127" t="s">
        <v>52</v>
      </c>
      <c r="AT127" t="s">
        <v>53</v>
      </c>
      <c r="AV127" t="s">
        <v>54</v>
      </c>
      <c r="AW127">
        <v>59.798777114328601</v>
      </c>
      <c r="AX127" t="s">
        <v>55</v>
      </c>
    </row>
    <row r="128" spans="1:50" x14ac:dyDescent="0.3">
      <c r="A128">
        <v>125</v>
      </c>
      <c r="B128">
        <v>0</v>
      </c>
      <c r="C128">
        <v>125</v>
      </c>
      <c r="D128" t="s">
        <v>393</v>
      </c>
      <c r="E128" t="s">
        <v>180</v>
      </c>
      <c r="F128" t="s">
        <v>58</v>
      </c>
      <c r="G128" t="s">
        <v>59</v>
      </c>
      <c r="H128" t="s">
        <v>59</v>
      </c>
      <c r="I128">
        <f t="shared" si="2"/>
        <v>1.24371919990517</v>
      </c>
      <c r="J128" t="s">
        <v>408</v>
      </c>
      <c r="K128" t="s">
        <v>61</v>
      </c>
      <c r="L128">
        <v>125</v>
      </c>
      <c r="M128">
        <v>0</v>
      </c>
      <c r="N128">
        <v>125</v>
      </c>
      <c r="O128">
        <v>0</v>
      </c>
      <c r="P128">
        <v>263.25941460009199</v>
      </c>
      <c r="Z128">
        <v>5</v>
      </c>
      <c r="AA128">
        <v>263.252432400011</v>
      </c>
      <c r="AB128">
        <v>263.25941460009199</v>
      </c>
      <c r="AC128">
        <v>263.25941460009199</v>
      </c>
      <c r="AD128">
        <v>2.31740999734029E-2</v>
      </c>
      <c r="AE128">
        <v>264.49624610005401</v>
      </c>
      <c r="AF128" t="s">
        <v>393</v>
      </c>
      <c r="AG128" t="s">
        <v>180</v>
      </c>
      <c r="AH128" t="s">
        <v>58</v>
      </c>
      <c r="AI128" t="s">
        <v>59</v>
      </c>
      <c r="AJ128" t="s">
        <v>59</v>
      </c>
      <c r="AK128" t="s">
        <v>408</v>
      </c>
      <c r="AL128" t="s">
        <v>61</v>
      </c>
      <c r="AQ128" t="s">
        <v>51</v>
      </c>
      <c r="AR128">
        <v>1</v>
      </c>
      <c r="AS128" t="s">
        <v>52</v>
      </c>
      <c r="AT128" t="s">
        <v>53</v>
      </c>
      <c r="AV128" t="s">
        <v>54</v>
      </c>
      <c r="AW128">
        <v>59.798777114328601</v>
      </c>
      <c r="AX128" t="s">
        <v>55</v>
      </c>
    </row>
    <row r="129" spans="1:50" x14ac:dyDescent="0.3">
      <c r="A129">
        <v>126</v>
      </c>
      <c r="B129">
        <v>0</v>
      </c>
      <c r="C129">
        <v>126</v>
      </c>
      <c r="D129" t="s">
        <v>89</v>
      </c>
      <c r="E129" t="s">
        <v>409</v>
      </c>
      <c r="F129" t="s">
        <v>58</v>
      </c>
      <c r="G129" t="s">
        <v>59</v>
      </c>
      <c r="H129" t="s">
        <v>59</v>
      </c>
      <c r="I129">
        <f t="shared" si="2"/>
        <v>2.0743425000691702</v>
      </c>
      <c r="J129" t="s">
        <v>410</v>
      </c>
      <c r="K129" t="s">
        <v>61</v>
      </c>
      <c r="L129">
        <v>126</v>
      </c>
      <c r="M129">
        <v>0</v>
      </c>
      <c r="N129">
        <v>126</v>
      </c>
      <c r="O129">
        <v>0</v>
      </c>
      <c r="P129">
        <v>264.53142430004601</v>
      </c>
      <c r="Z129">
        <v>5</v>
      </c>
      <c r="AA129">
        <v>264.52206370001602</v>
      </c>
      <c r="AB129">
        <v>264.53142430004601</v>
      </c>
      <c r="AC129">
        <v>264.53142430004601</v>
      </c>
      <c r="AD129">
        <v>2.5637099985033201E-2</v>
      </c>
      <c r="AE129">
        <v>266.59641860006298</v>
      </c>
      <c r="AF129" t="s">
        <v>89</v>
      </c>
      <c r="AG129" t="s">
        <v>409</v>
      </c>
      <c r="AH129" t="s">
        <v>58</v>
      </c>
      <c r="AI129" t="s">
        <v>59</v>
      </c>
      <c r="AJ129" t="s">
        <v>59</v>
      </c>
      <c r="AK129" t="s">
        <v>410</v>
      </c>
      <c r="AL129" t="s">
        <v>61</v>
      </c>
      <c r="AQ129" t="s">
        <v>51</v>
      </c>
      <c r="AR129">
        <v>1</v>
      </c>
      <c r="AS129" t="s">
        <v>52</v>
      </c>
      <c r="AT129" t="s">
        <v>53</v>
      </c>
      <c r="AV129" t="s">
        <v>54</v>
      </c>
      <c r="AW129">
        <v>59.798777114328601</v>
      </c>
      <c r="AX129" t="s">
        <v>55</v>
      </c>
    </row>
    <row r="130" spans="1:50" x14ac:dyDescent="0.3">
      <c r="A130">
        <v>127</v>
      </c>
      <c r="B130">
        <v>0</v>
      </c>
      <c r="C130">
        <v>127</v>
      </c>
      <c r="D130" t="s">
        <v>333</v>
      </c>
      <c r="E130" t="s">
        <v>411</v>
      </c>
      <c r="F130" t="s">
        <v>58</v>
      </c>
      <c r="G130" t="s">
        <v>59</v>
      </c>
      <c r="H130" t="s">
        <v>59</v>
      </c>
      <c r="I130">
        <f t="shared" si="2"/>
        <v>1.62241630000062</v>
      </c>
      <c r="J130" t="s">
        <v>412</v>
      </c>
      <c r="K130" t="s">
        <v>61</v>
      </c>
      <c r="L130">
        <v>127</v>
      </c>
      <c r="M130">
        <v>0</v>
      </c>
      <c r="N130">
        <v>127</v>
      </c>
      <c r="O130">
        <v>0</v>
      </c>
      <c r="P130">
        <v>266.65462350007101</v>
      </c>
      <c r="Z130">
        <v>10</v>
      </c>
      <c r="AA130">
        <v>266.63985630008301</v>
      </c>
      <c r="AB130">
        <v>266.65462350007101</v>
      </c>
      <c r="AC130">
        <v>266.65462350007101</v>
      </c>
      <c r="AD130">
        <v>4.32117000455036E-2</v>
      </c>
      <c r="AE130">
        <v>268.2623992</v>
      </c>
      <c r="AF130" t="s">
        <v>333</v>
      </c>
      <c r="AG130" t="s">
        <v>411</v>
      </c>
      <c r="AH130" t="s">
        <v>58</v>
      </c>
      <c r="AI130" t="s">
        <v>59</v>
      </c>
      <c r="AJ130" t="s">
        <v>59</v>
      </c>
      <c r="AK130" t="s">
        <v>412</v>
      </c>
      <c r="AL130" t="s">
        <v>61</v>
      </c>
      <c r="AQ130" t="s">
        <v>51</v>
      </c>
      <c r="AR130">
        <v>1</v>
      </c>
      <c r="AS130" t="s">
        <v>52</v>
      </c>
      <c r="AT130" t="s">
        <v>53</v>
      </c>
      <c r="AV130" t="s">
        <v>54</v>
      </c>
      <c r="AW130">
        <v>59.798777114328601</v>
      </c>
      <c r="AX130" t="s">
        <v>55</v>
      </c>
    </row>
    <row r="131" spans="1:50" x14ac:dyDescent="0.3">
      <c r="A131">
        <v>128</v>
      </c>
      <c r="B131">
        <v>0</v>
      </c>
      <c r="C131">
        <v>128</v>
      </c>
      <c r="D131" t="s">
        <v>413</v>
      </c>
      <c r="E131" t="s">
        <v>414</v>
      </c>
      <c r="F131" t="s">
        <v>58</v>
      </c>
      <c r="G131" t="s">
        <v>59</v>
      </c>
      <c r="H131" t="s">
        <v>59</v>
      </c>
      <c r="I131">
        <f t="shared" si="2"/>
        <v>1.5744461999274699</v>
      </c>
      <c r="J131" t="s">
        <v>415</v>
      </c>
      <c r="K131" t="s">
        <v>61</v>
      </c>
      <c r="L131">
        <v>128</v>
      </c>
      <c r="M131">
        <v>0</v>
      </c>
      <c r="N131">
        <v>128</v>
      </c>
      <c r="O131">
        <v>0</v>
      </c>
      <c r="P131">
        <v>268.29879760008703</v>
      </c>
      <c r="Z131">
        <v>5</v>
      </c>
      <c r="AA131">
        <v>268.28825109999099</v>
      </c>
      <c r="AB131">
        <v>268.29879760008703</v>
      </c>
      <c r="AC131">
        <v>268.29879760008703</v>
      </c>
      <c r="AD131">
        <v>2.5617299950681599E-2</v>
      </c>
      <c r="AE131">
        <v>269.86281260009798</v>
      </c>
      <c r="AF131" t="s">
        <v>413</v>
      </c>
      <c r="AG131" t="s">
        <v>414</v>
      </c>
      <c r="AH131" t="s">
        <v>58</v>
      </c>
      <c r="AI131" t="s">
        <v>59</v>
      </c>
      <c r="AJ131" t="s">
        <v>59</v>
      </c>
      <c r="AK131" t="s">
        <v>415</v>
      </c>
      <c r="AL131" t="s">
        <v>61</v>
      </c>
      <c r="AQ131" t="s">
        <v>51</v>
      </c>
      <c r="AR131">
        <v>1</v>
      </c>
      <c r="AS131" t="s">
        <v>52</v>
      </c>
      <c r="AT131" t="s">
        <v>53</v>
      </c>
      <c r="AV131" t="s">
        <v>54</v>
      </c>
      <c r="AW131">
        <v>59.798777114328601</v>
      </c>
      <c r="AX131" t="s">
        <v>55</v>
      </c>
    </row>
    <row r="132" spans="1:50" x14ac:dyDescent="0.3">
      <c r="A132">
        <v>129</v>
      </c>
      <c r="B132">
        <v>0</v>
      </c>
      <c r="C132">
        <v>129</v>
      </c>
      <c r="D132" t="s">
        <v>416</v>
      </c>
      <c r="E132" t="s">
        <v>417</v>
      </c>
      <c r="F132" t="s">
        <v>58</v>
      </c>
      <c r="G132" t="s">
        <v>59</v>
      </c>
      <c r="H132" t="s">
        <v>59</v>
      </c>
      <c r="I132">
        <f t="shared" si="2"/>
        <v>1.7180535000516099</v>
      </c>
      <c r="J132" t="s">
        <v>418</v>
      </c>
      <c r="K132" t="s">
        <v>61</v>
      </c>
      <c r="L132">
        <v>129</v>
      </c>
      <c r="M132">
        <v>0</v>
      </c>
      <c r="N132">
        <v>129</v>
      </c>
      <c r="O132">
        <v>0</v>
      </c>
      <c r="P132">
        <v>269.90510540001497</v>
      </c>
      <c r="Z132">
        <v>10</v>
      </c>
      <c r="AA132">
        <v>269.89438730000899</v>
      </c>
      <c r="AB132">
        <v>269.90510540001497</v>
      </c>
      <c r="AC132">
        <v>269.90510540001497</v>
      </c>
      <c r="AD132">
        <v>3.1365700066089602E-2</v>
      </c>
      <c r="AE132">
        <v>271.61257820005898</v>
      </c>
      <c r="AF132" t="s">
        <v>416</v>
      </c>
      <c r="AG132" t="s">
        <v>417</v>
      </c>
      <c r="AH132" t="s">
        <v>58</v>
      </c>
      <c r="AI132" t="s">
        <v>59</v>
      </c>
      <c r="AJ132" t="s">
        <v>59</v>
      </c>
      <c r="AK132" t="s">
        <v>418</v>
      </c>
      <c r="AL132" t="s">
        <v>61</v>
      </c>
      <c r="AQ132" t="s">
        <v>51</v>
      </c>
      <c r="AR132">
        <v>1</v>
      </c>
      <c r="AS132" t="s">
        <v>52</v>
      </c>
      <c r="AT132" t="s">
        <v>53</v>
      </c>
      <c r="AV132" t="s">
        <v>54</v>
      </c>
      <c r="AW132">
        <v>59.798777114328601</v>
      </c>
      <c r="AX132" t="s">
        <v>55</v>
      </c>
    </row>
    <row r="133" spans="1:50" x14ac:dyDescent="0.3">
      <c r="A133">
        <v>130</v>
      </c>
      <c r="B133">
        <v>0</v>
      </c>
      <c r="C133">
        <v>130</v>
      </c>
      <c r="D133" t="s">
        <v>419</v>
      </c>
      <c r="E133" t="s">
        <v>303</v>
      </c>
      <c r="F133" t="s">
        <v>58</v>
      </c>
      <c r="G133" t="s">
        <v>59</v>
      </c>
      <c r="H133" t="s">
        <v>59</v>
      </c>
      <c r="I133">
        <f t="shared" si="2"/>
        <v>1.95319220004603</v>
      </c>
      <c r="J133" t="s">
        <v>420</v>
      </c>
      <c r="K133" t="s">
        <v>61</v>
      </c>
      <c r="L133">
        <v>130</v>
      </c>
      <c r="M133">
        <v>0</v>
      </c>
      <c r="N133">
        <v>130</v>
      </c>
      <c r="O133">
        <v>0</v>
      </c>
      <c r="P133">
        <v>271.67264780006298</v>
      </c>
      <c r="Z133">
        <v>10</v>
      </c>
      <c r="AA133">
        <v>271.65905670006703</v>
      </c>
      <c r="AB133">
        <v>271.67264780006298</v>
      </c>
      <c r="AC133">
        <v>271.67264780006298</v>
      </c>
      <c r="AD133">
        <v>4.61818999610841E-2</v>
      </c>
      <c r="AE133">
        <v>273.61235519999099</v>
      </c>
      <c r="AF133" t="s">
        <v>419</v>
      </c>
      <c r="AG133" t="s">
        <v>303</v>
      </c>
      <c r="AH133" t="s">
        <v>58</v>
      </c>
      <c r="AI133" t="s">
        <v>59</v>
      </c>
      <c r="AJ133" t="s">
        <v>59</v>
      </c>
      <c r="AK133" t="s">
        <v>420</v>
      </c>
      <c r="AL133" t="s">
        <v>61</v>
      </c>
      <c r="AQ133" t="s">
        <v>51</v>
      </c>
      <c r="AR133">
        <v>1</v>
      </c>
      <c r="AS133" t="s">
        <v>52</v>
      </c>
      <c r="AT133" t="s">
        <v>53</v>
      </c>
      <c r="AV133" t="s">
        <v>54</v>
      </c>
      <c r="AW133">
        <v>59.798777114328601</v>
      </c>
      <c r="AX133" t="s">
        <v>55</v>
      </c>
    </row>
    <row r="134" spans="1:50" x14ac:dyDescent="0.3">
      <c r="A134">
        <v>131</v>
      </c>
      <c r="B134">
        <v>0</v>
      </c>
      <c r="C134">
        <v>131</v>
      </c>
      <c r="D134" t="s">
        <v>421</v>
      </c>
      <c r="E134" t="s">
        <v>62</v>
      </c>
      <c r="F134" t="s">
        <v>58</v>
      </c>
      <c r="G134" t="s">
        <v>59</v>
      </c>
      <c r="H134" t="s">
        <v>59</v>
      </c>
      <c r="I134">
        <f t="shared" si="2"/>
        <v>2.0659562000073399</v>
      </c>
      <c r="J134" t="s">
        <v>422</v>
      </c>
      <c r="K134" t="s">
        <v>61</v>
      </c>
      <c r="L134">
        <v>131</v>
      </c>
      <c r="M134">
        <v>0</v>
      </c>
      <c r="N134">
        <v>131</v>
      </c>
      <c r="O134">
        <v>0</v>
      </c>
      <c r="P134">
        <v>273.68296590005002</v>
      </c>
      <c r="Z134">
        <v>10</v>
      </c>
      <c r="AA134">
        <v>273.66258620005101</v>
      </c>
      <c r="AB134">
        <v>273.68296590005002</v>
      </c>
      <c r="AC134">
        <v>273.68296590005002</v>
      </c>
      <c r="AD134">
        <v>4.9988899962045197E-2</v>
      </c>
      <c r="AE134">
        <v>275.72863330005202</v>
      </c>
      <c r="AF134" t="s">
        <v>421</v>
      </c>
      <c r="AG134" t="s">
        <v>62</v>
      </c>
      <c r="AH134" t="s">
        <v>58</v>
      </c>
      <c r="AI134" t="s">
        <v>59</v>
      </c>
      <c r="AJ134" t="s">
        <v>59</v>
      </c>
      <c r="AK134" t="s">
        <v>422</v>
      </c>
      <c r="AL134" t="s">
        <v>61</v>
      </c>
      <c r="AQ134" t="s">
        <v>51</v>
      </c>
      <c r="AR134">
        <v>1</v>
      </c>
      <c r="AS134" t="s">
        <v>52</v>
      </c>
      <c r="AT134" t="s">
        <v>53</v>
      </c>
      <c r="AV134" t="s">
        <v>54</v>
      </c>
      <c r="AW134">
        <v>59.798777114328601</v>
      </c>
      <c r="AX134" t="s">
        <v>55</v>
      </c>
    </row>
    <row r="135" spans="1:50" x14ac:dyDescent="0.3">
      <c r="A135">
        <v>132</v>
      </c>
      <c r="B135">
        <v>0</v>
      </c>
      <c r="C135">
        <v>132</v>
      </c>
      <c r="D135" t="s">
        <v>423</v>
      </c>
      <c r="E135" t="s">
        <v>424</v>
      </c>
      <c r="F135" t="s">
        <v>58</v>
      </c>
      <c r="G135" t="s">
        <v>59</v>
      </c>
      <c r="H135" t="s">
        <v>59</v>
      </c>
      <c r="I135">
        <f t="shared" si="2"/>
        <v>2.04910850001033</v>
      </c>
      <c r="J135" t="s">
        <v>425</v>
      </c>
      <c r="K135" t="s">
        <v>61</v>
      </c>
      <c r="L135">
        <v>132</v>
      </c>
      <c r="M135">
        <v>0</v>
      </c>
      <c r="N135">
        <v>132</v>
      </c>
      <c r="O135">
        <v>0</v>
      </c>
      <c r="P135">
        <v>275.75772440002697</v>
      </c>
      <c r="Z135">
        <v>5</v>
      </c>
      <c r="AA135">
        <v>275.74653520004301</v>
      </c>
      <c r="AB135">
        <v>275.75772440002697</v>
      </c>
      <c r="AC135">
        <v>275.75772440002697</v>
      </c>
      <c r="AD135">
        <v>1.7648800043389201E-2</v>
      </c>
      <c r="AE135">
        <v>277.79575370007598</v>
      </c>
      <c r="AF135" t="s">
        <v>423</v>
      </c>
      <c r="AG135" t="s">
        <v>424</v>
      </c>
      <c r="AH135" t="s">
        <v>58</v>
      </c>
      <c r="AI135" t="s">
        <v>59</v>
      </c>
      <c r="AJ135" t="s">
        <v>59</v>
      </c>
      <c r="AK135" t="s">
        <v>425</v>
      </c>
      <c r="AL135" t="s">
        <v>61</v>
      </c>
      <c r="AQ135" t="s">
        <v>51</v>
      </c>
      <c r="AR135">
        <v>1</v>
      </c>
      <c r="AS135" t="s">
        <v>52</v>
      </c>
      <c r="AT135" t="s">
        <v>53</v>
      </c>
      <c r="AV135" t="s">
        <v>54</v>
      </c>
      <c r="AW135">
        <v>59.798777114328601</v>
      </c>
      <c r="AX135" t="s">
        <v>55</v>
      </c>
    </row>
    <row r="136" spans="1:50" x14ac:dyDescent="0.3">
      <c r="A136">
        <v>133</v>
      </c>
      <c r="B136">
        <v>0</v>
      </c>
      <c r="C136">
        <v>133</v>
      </c>
      <c r="D136" t="s">
        <v>186</v>
      </c>
      <c r="E136" t="s">
        <v>96</v>
      </c>
      <c r="F136" t="s">
        <v>58</v>
      </c>
      <c r="G136" t="s">
        <v>59</v>
      </c>
      <c r="H136" t="s">
        <v>59</v>
      </c>
      <c r="I136">
        <f t="shared" si="2"/>
        <v>1.795194300008</v>
      </c>
      <c r="J136" t="s">
        <v>426</v>
      </c>
      <c r="K136" t="s">
        <v>61</v>
      </c>
      <c r="L136">
        <v>133</v>
      </c>
      <c r="M136">
        <v>0</v>
      </c>
      <c r="N136">
        <v>133</v>
      </c>
      <c r="O136">
        <v>0</v>
      </c>
      <c r="P136">
        <v>277.82290890009602</v>
      </c>
      <c r="Z136">
        <v>5</v>
      </c>
      <c r="AA136">
        <v>277.81607790000203</v>
      </c>
      <c r="AB136">
        <v>277.82290890009602</v>
      </c>
      <c r="AC136">
        <v>277.82290890009602</v>
      </c>
      <c r="AD136">
        <v>2.01001999666914E-2</v>
      </c>
      <c r="AE136">
        <v>279.61138550005802</v>
      </c>
      <c r="AF136" t="s">
        <v>186</v>
      </c>
      <c r="AG136" t="s">
        <v>96</v>
      </c>
      <c r="AH136" t="s">
        <v>58</v>
      </c>
      <c r="AI136" t="s">
        <v>59</v>
      </c>
      <c r="AJ136" t="s">
        <v>59</v>
      </c>
      <c r="AK136" t="s">
        <v>426</v>
      </c>
      <c r="AL136" t="s">
        <v>61</v>
      </c>
      <c r="AQ136" t="s">
        <v>51</v>
      </c>
      <c r="AR136">
        <v>1</v>
      </c>
      <c r="AS136" t="s">
        <v>52</v>
      </c>
      <c r="AT136" t="s">
        <v>53</v>
      </c>
      <c r="AV136" t="s">
        <v>54</v>
      </c>
      <c r="AW136">
        <v>59.798777114328601</v>
      </c>
      <c r="AX136" t="s">
        <v>55</v>
      </c>
    </row>
    <row r="137" spans="1:50" x14ac:dyDescent="0.3">
      <c r="A137">
        <v>134</v>
      </c>
      <c r="B137">
        <v>0</v>
      </c>
      <c r="C137">
        <v>134</v>
      </c>
      <c r="D137" t="s">
        <v>427</v>
      </c>
      <c r="E137" t="s">
        <v>428</v>
      </c>
      <c r="F137" t="s">
        <v>58</v>
      </c>
      <c r="G137" t="s">
        <v>59</v>
      </c>
      <c r="H137" t="s">
        <v>59</v>
      </c>
      <c r="I137">
        <f t="shared" si="2"/>
        <v>1.8671167999273099</v>
      </c>
      <c r="J137" t="s">
        <v>429</v>
      </c>
      <c r="K137" t="s">
        <v>61</v>
      </c>
      <c r="L137">
        <v>134</v>
      </c>
      <c r="M137">
        <v>0</v>
      </c>
      <c r="N137">
        <v>134</v>
      </c>
      <c r="O137">
        <v>0</v>
      </c>
      <c r="P137">
        <v>279.671214100089</v>
      </c>
      <c r="Z137">
        <v>10</v>
      </c>
      <c r="AA137">
        <v>279.660470500006</v>
      </c>
      <c r="AB137">
        <v>279.671214100089</v>
      </c>
      <c r="AC137">
        <v>279.671214100089</v>
      </c>
      <c r="AD137">
        <v>4.8838500049896497E-2</v>
      </c>
      <c r="AE137">
        <v>281.527660300023</v>
      </c>
      <c r="AF137" t="s">
        <v>427</v>
      </c>
      <c r="AG137" t="s">
        <v>428</v>
      </c>
      <c r="AH137" t="s">
        <v>58</v>
      </c>
      <c r="AI137" t="s">
        <v>59</v>
      </c>
      <c r="AJ137" t="s">
        <v>59</v>
      </c>
      <c r="AK137" t="s">
        <v>429</v>
      </c>
      <c r="AL137" t="s">
        <v>61</v>
      </c>
      <c r="AQ137" t="s">
        <v>51</v>
      </c>
      <c r="AR137">
        <v>1</v>
      </c>
      <c r="AS137" t="s">
        <v>52</v>
      </c>
      <c r="AT137" t="s">
        <v>53</v>
      </c>
      <c r="AV137" t="s">
        <v>54</v>
      </c>
      <c r="AW137">
        <v>59.798777114328601</v>
      </c>
      <c r="AX137" t="s">
        <v>55</v>
      </c>
    </row>
    <row r="138" spans="1:50" x14ac:dyDescent="0.3">
      <c r="A138">
        <v>135</v>
      </c>
      <c r="B138">
        <v>0</v>
      </c>
      <c r="C138">
        <v>135</v>
      </c>
      <c r="D138" t="s">
        <v>430</v>
      </c>
      <c r="E138" t="s">
        <v>431</v>
      </c>
      <c r="F138" t="s">
        <v>58</v>
      </c>
      <c r="G138" t="s">
        <v>59</v>
      </c>
      <c r="H138" t="s">
        <v>59</v>
      </c>
      <c r="I138">
        <f t="shared" si="2"/>
        <v>1.87268779997248</v>
      </c>
      <c r="J138" t="s">
        <v>432</v>
      </c>
      <c r="K138" t="s">
        <v>61</v>
      </c>
      <c r="L138">
        <v>135</v>
      </c>
      <c r="M138">
        <v>0</v>
      </c>
      <c r="N138">
        <v>135</v>
      </c>
      <c r="O138">
        <v>0</v>
      </c>
      <c r="P138">
        <v>281.57291540002899</v>
      </c>
      <c r="Z138">
        <v>10</v>
      </c>
      <c r="AA138">
        <v>281.55578130006302</v>
      </c>
      <c r="AB138">
        <v>281.57291540002899</v>
      </c>
      <c r="AC138">
        <v>281.57291540002899</v>
      </c>
      <c r="AD138">
        <v>2.7970799943432201E-2</v>
      </c>
      <c r="AE138">
        <v>283.42857390001802</v>
      </c>
      <c r="AF138" t="s">
        <v>430</v>
      </c>
      <c r="AG138" t="s">
        <v>431</v>
      </c>
      <c r="AH138" t="s">
        <v>58</v>
      </c>
      <c r="AI138" t="s">
        <v>59</v>
      </c>
      <c r="AJ138" t="s">
        <v>59</v>
      </c>
      <c r="AK138" t="s">
        <v>432</v>
      </c>
      <c r="AL138" t="s">
        <v>61</v>
      </c>
      <c r="AQ138" t="s">
        <v>51</v>
      </c>
      <c r="AR138">
        <v>1</v>
      </c>
      <c r="AS138" t="s">
        <v>52</v>
      </c>
      <c r="AT138" t="s">
        <v>53</v>
      </c>
      <c r="AV138" t="s">
        <v>54</v>
      </c>
      <c r="AW138">
        <v>59.798777114328601</v>
      </c>
      <c r="AX138" t="s">
        <v>55</v>
      </c>
    </row>
    <row r="139" spans="1:50" x14ac:dyDescent="0.3">
      <c r="A139">
        <v>136</v>
      </c>
      <c r="B139">
        <v>0</v>
      </c>
      <c r="C139">
        <v>136</v>
      </c>
      <c r="D139" t="s">
        <v>433</v>
      </c>
      <c r="E139" t="s">
        <v>434</v>
      </c>
      <c r="F139" t="s">
        <v>58</v>
      </c>
      <c r="G139" t="s">
        <v>59</v>
      </c>
      <c r="H139" t="s">
        <v>59</v>
      </c>
      <c r="I139">
        <f t="shared" si="2"/>
        <v>1.91565929993521</v>
      </c>
      <c r="J139" t="s">
        <v>435</v>
      </c>
      <c r="K139" t="s">
        <v>61</v>
      </c>
      <c r="L139">
        <v>136</v>
      </c>
      <c r="M139">
        <v>0</v>
      </c>
      <c r="N139">
        <v>136</v>
      </c>
      <c r="O139">
        <v>0</v>
      </c>
      <c r="P139">
        <v>283.45379609998702</v>
      </c>
      <c r="Z139">
        <v>5</v>
      </c>
      <c r="AA139">
        <v>283.44548500003202</v>
      </c>
      <c r="AB139">
        <v>283.45379609998702</v>
      </c>
      <c r="AC139">
        <v>283.45379609998702</v>
      </c>
      <c r="AD139">
        <v>1.66793999960646E-2</v>
      </c>
      <c r="AE139">
        <v>285.36121030000498</v>
      </c>
      <c r="AF139" t="s">
        <v>433</v>
      </c>
      <c r="AG139" t="s">
        <v>434</v>
      </c>
      <c r="AH139" t="s">
        <v>58</v>
      </c>
      <c r="AI139" t="s">
        <v>59</v>
      </c>
      <c r="AJ139" t="s">
        <v>59</v>
      </c>
      <c r="AK139" t="s">
        <v>435</v>
      </c>
      <c r="AL139" t="s">
        <v>61</v>
      </c>
      <c r="AQ139" t="s">
        <v>51</v>
      </c>
      <c r="AR139">
        <v>1</v>
      </c>
      <c r="AS139" t="s">
        <v>52</v>
      </c>
      <c r="AT139" t="s">
        <v>53</v>
      </c>
      <c r="AV139" t="s">
        <v>54</v>
      </c>
      <c r="AW139">
        <v>59.798777114328601</v>
      </c>
      <c r="AX139" t="s">
        <v>55</v>
      </c>
    </row>
    <row r="140" spans="1:50" x14ac:dyDescent="0.3">
      <c r="A140">
        <v>137</v>
      </c>
      <c r="B140">
        <v>0</v>
      </c>
      <c r="C140">
        <v>137</v>
      </c>
      <c r="D140" t="s">
        <v>436</v>
      </c>
      <c r="E140" t="s">
        <v>437</v>
      </c>
      <c r="F140" t="s">
        <v>58</v>
      </c>
      <c r="G140" t="s">
        <v>59</v>
      </c>
      <c r="H140" t="s">
        <v>59</v>
      </c>
      <c r="I140">
        <f t="shared" si="2"/>
        <v>2.1655527999391699</v>
      </c>
      <c r="J140" t="s">
        <v>438</v>
      </c>
      <c r="K140" t="s">
        <v>61</v>
      </c>
      <c r="L140">
        <v>137</v>
      </c>
      <c r="M140">
        <v>0</v>
      </c>
      <c r="N140">
        <v>137</v>
      </c>
      <c r="O140">
        <v>0</v>
      </c>
      <c r="P140">
        <v>285.41917030001002</v>
      </c>
      <c r="Z140">
        <v>10</v>
      </c>
      <c r="AA140">
        <v>285.39597000007001</v>
      </c>
      <c r="AB140">
        <v>285.41917030001002</v>
      </c>
      <c r="AC140">
        <v>285.41917030001002</v>
      </c>
      <c r="AD140">
        <v>3.4662300022318897E-2</v>
      </c>
      <c r="AE140">
        <v>287.56161119998399</v>
      </c>
      <c r="AF140" t="s">
        <v>436</v>
      </c>
      <c r="AG140" t="s">
        <v>437</v>
      </c>
      <c r="AH140" t="s">
        <v>58</v>
      </c>
      <c r="AI140" t="s">
        <v>59</v>
      </c>
      <c r="AJ140" t="s">
        <v>59</v>
      </c>
      <c r="AK140" t="s">
        <v>438</v>
      </c>
      <c r="AL140" t="s">
        <v>61</v>
      </c>
      <c r="AQ140" t="s">
        <v>51</v>
      </c>
      <c r="AR140">
        <v>1</v>
      </c>
      <c r="AS140" t="s">
        <v>52</v>
      </c>
      <c r="AT140" t="s">
        <v>53</v>
      </c>
      <c r="AV140" t="s">
        <v>54</v>
      </c>
      <c r="AW140">
        <v>59.798777114328601</v>
      </c>
      <c r="AX140" t="s">
        <v>55</v>
      </c>
    </row>
    <row r="141" spans="1:50" x14ac:dyDescent="0.3">
      <c r="A141">
        <v>138</v>
      </c>
      <c r="B141">
        <v>0</v>
      </c>
      <c r="C141">
        <v>138</v>
      </c>
      <c r="D141" t="s">
        <v>439</v>
      </c>
      <c r="E141" t="s">
        <v>440</v>
      </c>
      <c r="F141" t="s">
        <v>58</v>
      </c>
      <c r="G141" t="s">
        <v>59</v>
      </c>
      <c r="H141" t="s">
        <v>59</v>
      </c>
      <c r="I141">
        <f t="shared" si="2"/>
        <v>1.51659250003285</v>
      </c>
      <c r="J141" t="s">
        <v>441</v>
      </c>
      <c r="K141" t="s">
        <v>61</v>
      </c>
      <c r="L141">
        <v>138</v>
      </c>
      <c r="M141">
        <v>0</v>
      </c>
      <c r="N141">
        <v>138</v>
      </c>
      <c r="O141">
        <v>0</v>
      </c>
      <c r="P141">
        <v>287.61067319998898</v>
      </c>
      <c r="Z141">
        <v>10</v>
      </c>
      <c r="AA141">
        <v>287.594844300067</v>
      </c>
      <c r="AB141">
        <v>287.61067319998898</v>
      </c>
      <c r="AC141">
        <v>287.61067319998898</v>
      </c>
      <c r="AD141">
        <v>3.3011700026690897E-2</v>
      </c>
      <c r="AE141">
        <v>289.11151479999501</v>
      </c>
      <c r="AF141" t="s">
        <v>439</v>
      </c>
      <c r="AG141" t="s">
        <v>440</v>
      </c>
      <c r="AH141" t="s">
        <v>58</v>
      </c>
      <c r="AI141" t="s">
        <v>59</v>
      </c>
      <c r="AJ141" t="s">
        <v>59</v>
      </c>
      <c r="AK141" t="s">
        <v>441</v>
      </c>
      <c r="AL141" t="s">
        <v>61</v>
      </c>
      <c r="AQ141" t="s">
        <v>51</v>
      </c>
      <c r="AR141">
        <v>1</v>
      </c>
      <c r="AS141" t="s">
        <v>52</v>
      </c>
      <c r="AT141" t="s">
        <v>53</v>
      </c>
      <c r="AV141" t="s">
        <v>54</v>
      </c>
      <c r="AW141">
        <v>59.798777114328601</v>
      </c>
      <c r="AX141" t="s">
        <v>55</v>
      </c>
    </row>
    <row r="142" spans="1:50" x14ac:dyDescent="0.3">
      <c r="A142">
        <v>139</v>
      </c>
      <c r="B142">
        <v>0</v>
      </c>
      <c r="C142">
        <v>139</v>
      </c>
      <c r="D142" t="s">
        <v>442</v>
      </c>
      <c r="E142" t="s">
        <v>443</v>
      </c>
      <c r="F142" t="s">
        <v>58</v>
      </c>
      <c r="G142" t="s">
        <v>59</v>
      </c>
      <c r="H142" t="s">
        <v>59</v>
      </c>
      <c r="I142">
        <f t="shared" si="2"/>
        <v>2.36964159994386</v>
      </c>
      <c r="J142" t="s">
        <v>444</v>
      </c>
      <c r="K142" t="s">
        <v>61</v>
      </c>
      <c r="L142">
        <v>139</v>
      </c>
      <c r="M142">
        <v>0</v>
      </c>
      <c r="N142">
        <v>139</v>
      </c>
      <c r="O142">
        <v>0</v>
      </c>
      <c r="P142">
        <v>289.15788429998702</v>
      </c>
      <c r="Z142">
        <v>10</v>
      </c>
      <c r="AA142">
        <v>289.14121430006298</v>
      </c>
      <c r="AB142">
        <v>289.15788429998702</v>
      </c>
      <c r="AC142">
        <v>289.15788429998702</v>
      </c>
      <c r="AD142">
        <v>2.95335999689996E-2</v>
      </c>
      <c r="AE142">
        <v>291.51093280000998</v>
      </c>
      <c r="AF142" t="s">
        <v>442</v>
      </c>
      <c r="AG142" t="s">
        <v>443</v>
      </c>
      <c r="AH142" t="s">
        <v>58</v>
      </c>
      <c r="AI142" t="s">
        <v>59</v>
      </c>
      <c r="AJ142" t="s">
        <v>59</v>
      </c>
      <c r="AK142" t="s">
        <v>444</v>
      </c>
      <c r="AL142" t="s">
        <v>61</v>
      </c>
      <c r="AQ142" t="s">
        <v>51</v>
      </c>
      <c r="AR142">
        <v>1</v>
      </c>
      <c r="AS142" t="s">
        <v>52</v>
      </c>
      <c r="AT142" t="s">
        <v>53</v>
      </c>
      <c r="AV142" t="s">
        <v>54</v>
      </c>
      <c r="AW142">
        <v>59.798777114328601</v>
      </c>
      <c r="AX142" t="s">
        <v>55</v>
      </c>
    </row>
    <row r="143" spans="1:50" x14ac:dyDescent="0.3">
      <c r="A143">
        <v>140</v>
      </c>
      <c r="B143">
        <v>0</v>
      </c>
      <c r="C143">
        <v>140</v>
      </c>
      <c r="D143" t="s">
        <v>445</v>
      </c>
      <c r="E143" t="s">
        <v>274</v>
      </c>
      <c r="F143" t="s">
        <v>58</v>
      </c>
      <c r="G143" t="s">
        <v>59</v>
      </c>
      <c r="H143" t="s">
        <v>59</v>
      </c>
      <c r="I143">
        <f t="shared" si="2"/>
        <v>2.2347372999647601</v>
      </c>
      <c r="J143" t="s">
        <v>446</v>
      </c>
      <c r="K143" t="s">
        <v>61</v>
      </c>
      <c r="L143">
        <v>140</v>
      </c>
      <c r="M143">
        <v>0</v>
      </c>
      <c r="N143">
        <v>140</v>
      </c>
      <c r="O143">
        <v>0</v>
      </c>
      <c r="P143">
        <v>291.56285530002702</v>
      </c>
      <c r="Z143">
        <v>10</v>
      </c>
      <c r="AA143">
        <v>291.54322200000701</v>
      </c>
      <c r="AB143">
        <v>291.56285530002702</v>
      </c>
      <c r="AC143">
        <v>291.56285530002702</v>
      </c>
      <c r="AD143">
        <v>3.21235998999327E-2</v>
      </c>
      <c r="AE143">
        <v>293.77811429998798</v>
      </c>
      <c r="AF143" t="s">
        <v>445</v>
      </c>
      <c r="AG143" t="s">
        <v>274</v>
      </c>
      <c r="AH143" t="s">
        <v>58</v>
      </c>
      <c r="AI143" t="s">
        <v>59</v>
      </c>
      <c r="AJ143" t="s">
        <v>59</v>
      </c>
      <c r="AK143" t="s">
        <v>446</v>
      </c>
      <c r="AL143" t="s">
        <v>61</v>
      </c>
      <c r="AQ143" t="s">
        <v>51</v>
      </c>
      <c r="AR143">
        <v>1</v>
      </c>
      <c r="AS143" t="s">
        <v>52</v>
      </c>
      <c r="AT143" t="s">
        <v>53</v>
      </c>
      <c r="AV143" t="s">
        <v>54</v>
      </c>
      <c r="AW143">
        <v>59.798777114328601</v>
      </c>
      <c r="AX143" t="s">
        <v>55</v>
      </c>
    </row>
    <row r="144" spans="1:50" x14ac:dyDescent="0.3">
      <c r="A144">
        <v>141</v>
      </c>
      <c r="B144">
        <v>0</v>
      </c>
      <c r="C144">
        <v>141</v>
      </c>
      <c r="D144" t="s">
        <v>447</v>
      </c>
      <c r="E144" t="s">
        <v>448</v>
      </c>
      <c r="F144" t="s">
        <v>58</v>
      </c>
      <c r="G144" t="s">
        <v>59</v>
      </c>
      <c r="H144" t="s">
        <v>59</v>
      </c>
      <c r="I144">
        <f t="shared" si="2"/>
        <v>1.6150774999987301</v>
      </c>
      <c r="J144" t="s">
        <v>449</v>
      </c>
      <c r="K144" t="s">
        <v>61</v>
      </c>
      <c r="L144">
        <v>141</v>
      </c>
      <c r="M144">
        <v>0</v>
      </c>
      <c r="N144">
        <v>141</v>
      </c>
      <c r="O144">
        <v>0</v>
      </c>
      <c r="P144">
        <v>293.839304800028</v>
      </c>
      <c r="Z144">
        <v>10</v>
      </c>
      <c r="AA144">
        <v>293.82913289999101</v>
      </c>
      <c r="AB144">
        <v>293.839304800028</v>
      </c>
      <c r="AC144">
        <v>293.839304800028</v>
      </c>
      <c r="AD144">
        <v>5.0683300010859897E-2</v>
      </c>
      <c r="AE144">
        <v>295.44440560007899</v>
      </c>
      <c r="AF144" t="s">
        <v>447</v>
      </c>
      <c r="AG144" t="s">
        <v>448</v>
      </c>
      <c r="AH144" t="s">
        <v>58</v>
      </c>
      <c r="AI144" t="s">
        <v>59</v>
      </c>
      <c r="AJ144" t="s">
        <v>59</v>
      </c>
      <c r="AK144" t="s">
        <v>449</v>
      </c>
      <c r="AL144" t="s">
        <v>61</v>
      </c>
      <c r="AQ144" t="s">
        <v>51</v>
      </c>
      <c r="AR144">
        <v>1</v>
      </c>
      <c r="AS144" t="s">
        <v>52</v>
      </c>
      <c r="AT144" t="s">
        <v>53</v>
      </c>
      <c r="AV144" t="s">
        <v>54</v>
      </c>
      <c r="AW144">
        <v>59.798777114328601</v>
      </c>
      <c r="AX144" t="s">
        <v>55</v>
      </c>
    </row>
    <row r="145" spans="1:50" x14ac:dyDescent="0.3">
      <c r="A145">
        <v>142</v>
      </c>
      <c r="B145">
        <v>0</v>
      </c>
      <c r="C145">
        <v>142</v>
      </c>
      <c r="D145" t="s">
        <v>450</v>
      </c>
      <c r="E145" t="s">
        <v>129</v>
      </c>
      <c r="F145" t="s">
        <v>58</v>
      </c>
      <c r="G145" t="s">
        <v>59</v>
      </c>
      <c r="H145" t="s">
        <v>59</v>
      </c>
      <c r="I145">
        <f t="shared" si="2"/>
        <v>1.51347780006472</v>
      </c>
      <c r="J145" t="s">
        <v>451</v>
      </c>
      <c r="K145" t="s">
        <v>61</v>
      </c>
      <c r="L145">
        <v>142</v>
      </c>
      <c r="M145">
        <v>0</v>
      </c>
      <c r="N145">
        <v>142</v>
      </c>
      <c r="O145">
        <v>0</v>
      </c>
      <c r="P145">
        <v>295.50929550000001</v>
      </c>
      <c r="Z145">
        <v>10</v>
      </c>
      <c r="AA145">
        <v>295.49803430004903</v>
      </c>
      <c r="AB145">
        <v>295.50929550000001</v>
      </c>
      <c r="AC145">
        <v>295.50929550000001</v>
      </c>
      <c r="AD145">
        <v>5.3102599922567599E-2</v>
      </c>
      <c r="AE145">
        <v>297.01164869999002</v>
      </c>
      <c r="AF145" t="s">
        <v>450</v>
      </c>
      <c r="AG145" t="s">
        <v>129</v>
      </c>
      <c r="AH145" t="s">
        <v>58</v>
      </c>
      <c r="AI145" t="s">
        <v>59</v>
      </c>
      <c r="AJ145" t="s">
        <v>59</v>
      </c>
      <c r="AK145" t="s">
        <v>451</v>
      </c>
      <c r="AL145" t="s">
        <v>61</v>
      </c>
      <c r="AQ145" t="s">
        <v>51</v>
      </c>
      <c r="AR145">
        <v>1</v>
      </c>
      <c r="AS145" t="s">
        <v>52</v>
      </c>
      <c r="AT145" t="s">
        <v>53</v>
      </c>
      <c r="AV145" t="s">
        <v>54</v>
      </c>
      <c r="AW145">
        <v>59.798777114328601</v>
      </c>
      <c r="AX145" t="s">
        <v>55</v>
      </c>
    </row>
    <row r="146" spans="1:50" x14ac:dyDescent="0.3">
      <c r="A146">
        <v>143</v>
      </c>
      <c r="B146">
        <v>0</v>
      </c>
      <c r="C146">
        <v>143</v>
      </c>
      <c r="D146" t="s">
        <v>452</v>
      </c>
      <c r="E146" t="s">
        <v>453</v>
      </c>
      <c r="F146" t="s">
        <v>58</v>
      </c>
      <c r="G146" t="s">
        <v>59</v>
      </c>
      <c r="H146" t="s">
        <v>59</v>
      </c>
      <c r="J146" t="s">
        <v>454</v>
      </c>
      <c r="K146" t="s">
        <v>404</v>
      </c>
      <c r="L146">
        <v>143</v>
      </c>
      <c r="M146">
        <v>0</v>
      </c>
      <c r="N146">
        <v>143</v>
      </c>
      <c r="O146">
        <v>0</v>
      </c>
      <c r="P146">
        <v>297.04700690007297</v>
      </c>
      <c r="Z146">
        <v>5</v>
      </c>
      <c r="AA146">
        <v>297.03418970003202</v>
      </c>
      <c r="AB146">
        <v>297.04700690007297</v>
      </c>
      <c r="AC146">
        <v>297.04700690007297</v>
      </c>
      <c r="AD146">
        <v>2.2287600091658501E-2</v>
      </c>
      <c r="AE146">
        <v>298.26150710007602</v>
      </c>
      <c r="AF146" t="s">
        <v>452</v>
      </c>
      <c r="AG146" t="s">
        <v>453</v>
      </c>
      <c r="AH146" t="s">
        <v>58</v>
      </c>
      <c r="AI146" t="s">
        <v>59</v>
      </c>
      <c r="AJ146" t="s">
        <v>59</v>
      </c>
      <c r="AK146" t="s">
        <v>454</v>
      </c>
      <c r="AL146" t="s">
        <v>404</v>
      </c>
      <c r="AQ146" t="s">
        <v>51</v>
      </c>
      <c r="AR146">
        <v>1</v>
      </c>
      <c r="AS146" t="s">
        <v>52</v>
      </c>
      <c r="AT146" t="s">
        <v>53</v>
      </c>
      <c r="AV146" t="s">
        <v>54</v>
      </c>
      <c r="AW146">
        <v>59.798777114328601</v>
      </c>
      <c r="AX146" t="s">
        <v>55</v>
      </c>
    </row>
    <row r="147" spans="1:50" x14ac:dyDescent="0.3">
      <c r="A147">
        <v>144</v>
      </c>
      <c r="B147">
        <v>0</v>
      </c>
      <c r="C147">
        <v>144</v>
      </c>
      <c r="D147" t="s">
        <v>455</v>
      </c>
      <c r="E147" t="s">
        <v>456</v>
      </c>
      <c r="F147" t="s">
        <v>58</v>
      </c>
      <c r="G147" t="s">
        <v>59</v>
      </c>
      <c r="H147" t="s">
        <v>59</v>
      </c>
      <c r="I147">
        <f t="shared" ref="I147:I159" si="3">VALUE(SUBSTITUTE(SUBSTITUTE(J147,"[",""),"]",""))</f>
        <v>1.1662802000064401</v>
      </c>
      <c r="J147" t="s">
        <v>457</v>
      </c>
      <c r="K147" t="s">
        <v>61</v>
      </c>
      <c r="L147">
        <v>144</v>
      </c>
      <c r="M147">
        <v>0</v>
      </c>
      <c r="N147">
        <v>144</v>
      </c>
      <c r="O147">
        <v>0</v>
      </c>
      <c r="P147">
        <v>298.33141159999599</v>
      </c>
      <c r="Z147">
        <v>10</v>
      </c>
      <c r="AA147">
        <v>298.31088350003103</v>
      </c>
      <c r="AB147">
        <v>298.33141159999599</v>
      </c>
      <c r="AC147">
        <v>298.33141159999599</v>
      </c>
      <c r="AD147">
        <v>4.9165800097398397E-2</v>
      </c>
      <c r="AE147">
        <v>299.47726379998397</v>
      </c>
      <c r="AF147" t="s">
        <v>455</v>
      </c>
      <c r="AG147" t="s">
        <v>456</v>
      </c>
      <c r="AH147" t="s">
        <v>58</v>
      </c>
      <c r="AI147" t="s">
        <v>59</v>
      </c>
      <c r="AJ147" t="s">
        <v>59</v>
      </c>
      <c r="AK147" t="s">
        <v>457</v>
      </c>
      <c r="AL147" t="s">
        <v>61</v>
      </c>
      <c r="AQ147" t="s">
        <v>51</v>
      </c>
      <c r="AR147">
        <v>1</v>
      </c>
      <c r="AS147" t="s">
        <v>52</v>
      </c>
      <c r="AT147" t="s">
        <v>53</v>
      </c>
      <c r="AV147" t="s">
        <v>54</v>
      </c>
      <c r="AW147">
        <v>59.798777114328601</v>
      </c>
      <c r="AX147" t="s">
        <v>55</v>
      </c>
    </row>
    <row r="148" spans="1:50" x14ac:dyDescent="0.3">
      <c r="A148">
        <v>145</v>
      </c>
      <c r="B148">
        <v>0</v>
      </c>
      <c r="C148">
        <v>145</v>
      </c>
      <c r="D148" t="s">
        <v>458</v>
      </c>
      <c r="E148" t="s">
        <v>459</v>
      </c>
      <c r="F148" t="s">
        <v>58</v>
      </c>
      <c r="G148" t="s">
        <v>59</v>
      </c>
      <c r="H148" t="s">
        <v>59</v>
      </c>
      <c r="I148">
        <f t="shared" si="3"/>
        <v>1.8567769000073799</v>
      </c>
      <c r="J148" t="s">
        <v>460</v>
      </c>
      <c r="K148" t="s">
        <v>61</v>
      </c>
      <c r="L148">
        <v>145</v>
      </c>
      <c r="M148">
        <v>0</v>
      </c>
      <c r="N148">
        <v>145</v>
      </c>
      <c r="O148">
        <v>0</v>
      </c>
      <c r="P148">
        <v>299.51578820007802</v>
      </c>
      <c r="Z148">
        <v>5</v>
      </c>
      <c r="AA148">
        <v>299.50449220009602</v>
      </c>
      <c r="AB148">
        <v>299.51578820007802</v>
      </c>
      <c r="AC148">
        <v>299.51578820007802</v>
      </c>
      <c r="AD148">
        <v>2.69384999992325E-2</v>
      </c>
      <c r="AE148">
        <v>301.36133900005302</v>
      </c>
      <c r="AF148" t="s">
        <v>458</v>
      </c>
      <c r="AG148" t="s">
        <v>459</v>
      </c>
      <c r="AH148" t="s">
        <v>58</v>
      </c>
      <c r="AI148" t="s">
        <v>59</v>
      </c>
      <c r="AJ148" t="s">
        <v>59</v>
      </c>
      <c r="AK148" t="s">
        <v>460</v>
      </c>
      <c r="AL148" t="s">
        <v>61</v>
      </c>
      <c r="AQ148" t="s">
        <v>51</v>
      </c>
      <c r="AR148">
        <v>1</v>
      </c>
      <c r="AS148" t="s">
        <v>52</v>
      </c>
      <c r="AT148" t="s">
        <v>53</v>
      </c>
      <c r="AV148" t="s">
        <v>54</v>
      </c>
      <c r="AW148">
        <v>59.798777114328601</v>
      </c>
      <c r="AX148" t="s">
        <v>55</v>
      </c>
    </row>
    <row r="149" spans="1:50" x14ac:dyDescent="0.3">
      <c r="A149">
        <v>146</v>
      </c>
      <c r="B149">
        <v>0</v>
      </c>
      <c r="C149">
        <v>146</v>
      </c>
      <c r="D149" t="s">
        <v>314</v>
      </c>
      <c r="E149" t="s">
        <v>461</v>
      </c>
      <c r="F149" t="s">
        <v>58</v>
      </c>
      <c r="G149" t="s">
        <v>59</v>
      </c>
      <c r="H149" t="s">
        <v>59</v>
      </c>
      <c r="I149">
        <f t="shared" si="3"/>
        <v>1.2712018000893199</v>
      </c>
      <c r="J149" t="s">
        <v>462</v>
      </c>
      <c r="K149" t="s">
        <v>61</v>
      </c>
      <c r="L149">
        <v>146</v>
      </c>
      <c r="M149">
        <v>0</v>
      </c>
      <c r="N149">
        <v>146</v>
      </c>
      <c r="O149">
        <v>0</v>
      </c>
      <c r="P149">
        <v>301.42221520002897</v>
      </c>
      <c r="Z149">
        <v>10</v>
      </c>
      <c r="AA149">
        <v>301.40596420003499</v>
      </c>
      <c r="AB149">
        <v>301.42221520002897</v>
      </c>
      <c r="AC149">
        <v>301.42221520002897</v>
      </c>
      <c r="AD149">
        <v>4.4512099935673101E-2</v>
      </c>
      <c r="AE149">
        <v>302.67730219999697</v>
      </c>
      <c r="AF149" t="s">
        <v>314</v>
      </c>
      <c r="AG149" t="s">
        <v>461</v>
      </c>
      <c r="AH149" t="s">
        <v>58</v>
      </c>
      <c r="AI149" t="s">
        <v>59</v>
      </c>
      <c r="AJ149" t="s">
        <v>59</v>
      </c>
      <c r="AK149" t="s">
        <v>462</v>
      </c>
      <c r="AL149" t="s">
        <v>61</v>
      </c>
      <c r="AQ149" t="s">
        <v>51</v>
      </c>
      <c r="AR149">
        <v>1</v>
      </c>
      <c r="AS149" t="s">
        <v>52</v>
      </c>
      <c r="AT149" t="s">
        <v>53</v>
      </c>
      <c r="AV149" t="s">
        <v>54</v>
      </c>
      <c r="AW149">
        <v>59.798777114328601</v>
      </c>
      <c r="AX149" t="s">
        <v>55</v>
      </c>
    </row>
    <row r="150" spans="1:50" x14ac:dyDescent="0.3">
      <c r="A150">
        <v>147</v>
      </c>
      <c r="B150">
        <v>0</v>
      </c>
      <c r="C150">
        <v>147</v>
      </c>
      <c r="D150" t="s">
        <v>463</v>
      </c>
      <c r="E150" t="s">
        <v>464</v>
      </c>
      <c r="F150" t="s">
        <v>58</v>
      </c>
      <c r="G150" t="s">
        <v>59</v>
      </c>
      <c r="H150" t="s">
        <v>59</v>
      </c>
      <c r="I150">
        <f t="shared" si="3"/>
        <v>2.26758799992967</v>
      </c>
      <c r="J150" t="s">
        <v>465</v>
      </c>
      <c r="K150" t="s">
        <v>61</v>
      </c>
      <c r="L150">
        <v>147</v>
      </c>
      <c r="M150">
        <v>0</v>
      </c>
      <c r="N150">
        <v>147</v>
      </c>
      <c r="O150">
        <v>0</v>
      </c>
      <c r="P150">
        <v>302.700408100034</v>
      </c>
      <c r="Z150">
        <v>5</v>
      </c>
      <c r="AA150">
        <v>302.69266190007301</v>
      </c>
      <c r="AB150">
        <v>302.700408100034</v>
      </c>
      <c r="AC150">
        <v>302.700408100034</v>
      </c>
      <c r="AD150">
        <v>1.50947000365704E-2</v>
      </c>
      <c r="AE150">
        <v>304.96037900005399</v>
      </c>
      <c r="AF150" t="s">
        <v>463</v>
      </c>
      <c r="AG150" t="s">
        <v>464</v>
      </c>
      <c r="AH150" t="s">
        <v>58</v>
      </c>
      <c r="AI150" t="s">
        <v>59</v>
      </c>
      <c r="AJ150" t="s">
        <v>59</v>
      </c>
      <c r="AK150" t="s">
        <v>465</v>
      </c>
      <c r="AL150" t="s">
        <v>61</v>
      </c>
      <c r="AQ150" t="s">
        <v>51</v>
      </c>
      <c r="AR150">
        <v>1</v>
      </c>
      <c r="AS150" t="s">
        <v>52</v>
      </c>
      <c r="AT150" t="s">
        <v>53</v>
      </c>
      <c r="AV150" t="s">
        <v>54</v>
      </c>
      <c r="AW150">
        <v>59.798777114328601</v>
      </c>
      <c r="AX150" t="s">
        <v>55</v>
      </c>
    </row>
    <row r="151" spans="1:50" x14ac:dyDescent="0.3">
      <c r="A151">
        <v>148</v>
      </c>
      <c r="B151">
        <v>0</v>
      </c>
      <c r="C151">
        <v>148</v>
      </c>
      <c r="D151" t="s">
        <v>466</v>
      </c>
      <c r="E151" t="s">
        <v>352</v>
      </c>
      <c r="F151" t="s">
        <v>58</v>
      </c>
      <c r="G151" t="s">
        <v>59</v>
      </c>
      <c r="H151" t="s">
        <v>59</v>
      </c>
      <c r="I151">
        <f t="shared" si="3"/>
        <v>1.3617885999847199</v>
      </c>
      <c r="J151" t="s">
        <v>467</v>
      </c>
      <c r="K151" t="s">
        <v>61</v>
      </c>
      <c r="L151">
        <v>148</v>
      </c>
      <c r="M151">
        <v>0</v>
      </c>
      <c r="N151">
        <v>148</v>
      </c>
      <c r="O151">
        <v>0</v>
      </c>
      <c r="P151">
        <v>304.98937710002002</v>
      </c>
      <c r="Z151">
        <v>5</v>
      </c>
      <c r="AA151">
        <v>304.98220299999201</v>
      </c>
      <c r="AB151">
        <v>304.98937710002002</v>
      </c>
      <c r="AC151">
        <v>304.98937710002002</v>
      </c>
      <c r="AD151">
        <v>2.1600599982775699E-2</v>
      </c>
      <c r="AE151">
        <v>306.34412890009099</v>
      </c>
      <c r="AF151" t="s">
        <v>466</v>
      </c>
      <c r="AG151" t="s">
        <v>352</v>
      </c>
      <c r="AH151" t="s">
        <v>58</v>
      </c>
      <c r="AI151" t="s">
        <v>59</v>
      </c>
      <c r="AJ151" t="s">
        <v>59</v>
      </c>
      <c r="AK151" t="s">
        <v>467</v>
      </c>
      <c r="AL151" t="s">
        <v>61</v>
      </c>
      <c r="AQ151" t="s">
        <v>51</v>
      </c>
      <c r="AR151">
        <v>1</v>
      </c>
      <c r="AS151" t="s">
        <v>52</v>
      </c>
      <c r="AT151" t="s">
        <v>53</v>
      </c>
      <c r="AV151" t="s">
        <v>54</v>
      </c>
      <c r="AW151">
        <v>59.798777114328601</v>
      </c>
      <c r="AX151" t="s">
        <v>55</v>
      </c>
    </row>
    <row r="152" spans="1:50" x14ac:dyDescent="0.3">
      <c r="A152">
        <v>149</v>
      </c>
      <c r="B152">
        <v>0</v>
      </c>
      <c r="C152">
        <v>149</v>
      </c>
      <c r="D152" t="s">
        <v>468</v>
      </c>
      <c r="E152" t="s">
        <v>469</v>
      </c>
      <c r="F152" t="s">
        <v>58</v>
      </c>
      <c r="G152" t="s">
        <v>59</v>
      </c>
      <c r="H152" t="s">
        <v>59</v>
      </c>
      <c r="I152">
        <f t="shared" si="3"/>
        <v>1.4785108999349099</v>
      </c>
      <c r="J152" t="s">
        <v>470</v>
      </c>
      <c r="K152" t="s">
        <v>61</v>
      </c>
      <c r="L152">
        <v>149</v>
      </c>
      <c r="M152">
        <v>0</v>
      </c>
      <c r="N152">
        <v>149</v>
      </c>
      <c r="O152">
        <v>0</v>
      </c>
      <c r="P152">
        <v>306.37414470000601</v>
      </c>
      <c r="Z152">
        <v>5</v>
      </c>
      <c r="AA152">
        <v>306.36462820007</v>
      </c>
      <c r="AB152">
        <v>306.37414470000601</v>
      </c>
      <c r="AC152">
        <v>306.37414470000601</v>
      </c>
      <c r="AD152">
        <v>2.02922000316903E-2</v>
      </c>
      <c r="AE152">
        <v>307.84328160004202</v>
      </c>
      <c r="AF152" t="s">
        <v>468</v>
      </c>
      <c r="AG152" t="s">
        <v>469</v>
      </c>
      <c r="AH152" t="s">
        <v>58</v>
      </c>
      <c r="AI152" t="s">
        <v>59</v>
      </c>
      <c r="AJ152" t="s">
        <v>59</v>
      </c>
      <c r="AK152" t="s">
        <v>470</v>
      </c>
      <c r="AL152" t="s">
        <v>61</v>
      </c>
      <c r="AQ152" t="s">
        <v>51</v>
      </c>
      <c r="AR152">
        <v>1</v>
      </c>
      <c r="AS152" t="s">
        <v>52</v>
      </c>
      <c r="AT152" t="s">
        <v>53</v>
      </c>
      <c r="AV152" t="s">
        <v>54</v>
      </c>
      <c r="AW152">
        <v>59.798777114328601</v>
      </c>
      <c r="AX152" t="s">
        <v>55</v>
      </c>
    </row>
    <row r="153" spans="1:50" x14ac:dyDescent="0.3">
      <c r="A153">
        <v>150</v>
      </c>
      <c r="B153">
        <v>0</v>
      </c>
      <c r="C153">
        <v>150</v>
      </c>
      <c r="D153" t="s">
        <v>471</v>
      </c>
      <c r="E153" t="s">
        <v>472</v>
      </c>
      <c r="F153" t="s">
        <v>58</v>
      </c>
      <c r="G153" t="s">
        <v>59</v>
      </c>
      <c r="H153" t="s">
        <v>59</v>
      </c>
      <c r="I153">
        <f t="shared" si="3"/>
        <v>1.7564136000582899</v>
      </c>
      <c r="J153" t="s">
        <v>473</v>
      </c>
      <c r="K153" t="s">
        <v>61</v>
      </c>
      <c r="L153">
        <v>150</v>
      </c>
      <c r="M153">
        <v>0</v>
      </c>
      <c r="N153">
        <v>150</v>
      </c>
      <c r="O153">
        <v>0</v>
      </c>
      <c r="P153">
        <v>307.88170290004899</v>
      </c>
      <c r="Z153">
        <v>5</v>
      </c>
      <c r="AA153">
        <v>307.87059360009101</v>
      </c>
      <c r="AB153">
        <v>307.88170290004899</v>
      </c>
      <c r="AC153">
        <v>307.88170290004899</v>
      </c>
      <c r="AD153">
        <v>2.7072599972598199E-2</v>
      </c>
      <c r="AE153">
        <v>309.62716889998399</v>
      </c>
      <c r="AF153" t="s">
        <v>471</v>
      </c>
      <c r="AG153" t="s">
        <v>472</v>
      </c>
      <c r="AH153" t="s">
        <v>58</v>
      </c>
      <c r="AI153" t="s">
        <v>59</v>
      </c>
      <c r="AJ153" t="s">
        <v>59</v>
      </c>
      <c r="AK153" t="s">
        <v>473</v>
      </c>
      <c r="AL153" t="s">
        <v>61</v>
      </c>
      <c r="AQ153" t="s">
        <v>51</v>
      </c>
      <c r="AR153">
        <v>1</v>
      </c>
      <c r="AS153" t="s">
        <v>52</v>
      </c>
      <c r="AT153" t="s">
        <v>53</v>
      </c>
      <c r="AV153" t="s">
        <v>54</v>
      </c>
      <c r="AW153">
        <v>59.798777114328601</v>
      </c>
      <c r="AX153" t="s">
        <v>55</v>
      </c>
    </row>
    <row r="154" spans="1:50" x14ac:dyDescent="0.3">
      <c r="A154">
        <v>151</v>
      </c>
      <c r="B154">
        <v>0</v>
      </c>
      <c r="C154">
        <v>151</v>
      </c>
      <c r="D154" t="s">
        <v>474</v>
      </c>
      <c r="E154" t="s">
        <v>475</v>
      </c>
      <c r="F154" t="s">
        <v>58</v>
      </c>
      <c r="G154" t="s">
        <v>59</v>
      </c>
      <c r="H154" t="s">
        <v>59</v>
      </c>
      <c r="I154">
        <f t="shared" si="3"/>
        <v>1.7026582000544199</v>
      </c>
      <c r="J154" t="s">
        <v>476</v>
      </c>
      <c r="K154" t="s">
        <v>61</v>
      </c>
      <c r="L154">
        <v>151</v>
      </c>
      <c r="M154">
        <v>0</v>
      </c>
      <c r="N154">
        <v>151</v>
      </c>
      <c r="O154">
        <v>0</v>
      </c>
      <c r="P154">
        <v>309.66961350000901</v>
      </c>
      <c r="Z154">
        <v>5</v>
      </c>
      <c r="AA154">
        <v>309.65777180006199</v>
      </c>
      <c r="AB154">
        <v>309.66961350000901</v>
      </c>
      <c r="AC154">
        <v>309.66961350000901</v>
      </c>
      <c r="AD154">
        <v>3.0243300017900699E-2</v>
      </c>
      <c r="AE154">
        <v>311.360519899986</v>
      </c>
      <c r="AF154" t="s">
        <v>474</v>
      </c>
      <c r="AG154" t="s">
        <v>475</v>
      </c>
      <c r="AH154" t="s">
        <v>58</v>
      </c>
      <c r="AI154" t="s">
        <v>59</v>
      </c>
      <c r="AJ154" t="s">
        <v>59</v>
      </c>
      <c r="AK154" t="s">
        <v>476</v>
      </c>
      <c r="AL154" t="s">
        <v>61</v>
      </c>
      <c r="AQ154" t="s">
        <v>51</v>
      </c>
      <c r="AR154">
        <v>1</v>
      </c>
      <c r="AS154" t="s">
        <v>52</v>
      </c>
      <c r="AT154" t="s">
        <v>53</v>
      </c>
      <c r="AV154" t="s">
        <v>54</v>
      </c>
      <c r="AW154">
        <v>59.798777114328601</v>
      </c>
      <c r="AX154" t="s">
        <v>55</v>
      </c>
    </row>
    <row r="155" spans="1:50" x14ac:dyDescent="0.3">
      <c r="A155">
        <v>152</v>
      </c>
      <c r="B155">
        <v>0</v>
      </c>
      <c r="C155">
        <v>152</v>
      </c>
      <c r="D155" t="s">
        <v>477</v>
      </c>
      <c r="E155" t="s">
        <v>126</v>
      </c>
      <c r="F155" t="s">
        <v>58</v>
      </c>
      <c r="G155" t="s">
        <v>59</v>
      </c>
      <c r="H155" t="s">
        <v>59</v>
      </c>
      <c r="I155">
        <f t="shared" si="3"/>
        <v>1.4164321999996901</v>
      </c>
      <c r="J155" t="s">
        <v>478</v>
      </c>
      <c r="K155" t="s">
        <v>61</v>
      </c>
      <c r="L155">
        <v>152</v>
      </c>
      <c r="M155">
        <v>0</v>
      </c>
      <c r="N155">
        <v>152</v>
      </c>
      <c r="O155">
        <v>0</v>
      </c>
      <c r="P155">
        <v>311.408331200014</v>
      </c>
      <c r="Z155">
        <v>10</v>
      </c>
      <c r="AA155">
        <v>311.39317350008002</v>
      </c>
      <c r="AB155">
        <v>311.408331200014</v>
      </c>
      <c r="AC155">
        <v>311.408331200014</v>
      </c>
      <c r="AD155">
        <v>3.2444000011309898E-2</v>
      </c>
      <c r="AE155">
        <v>312.80979150009802</v>
      </c>
      <c r="AF155" t="s">
        <v>477</v>
      </c>
      <c r="AG155" t="s">
        <v>126</v>
      </c>
      <c r="AH155" t="s">
        <v>58</v>
      </c>
      <c r="AI155" t="s">
        <v>59</v>
      </c>
      <c r="AJ155" t="s">
        <v>59</v>
      </c>
      <c r="AK155" t="s">
        <v>478</v>
      </c>
      <c r="AL155" t="s">
        <v>61</v>
      </c>
      <c r="AQ155" t="s">
        <v>51</v>
      </c>
      <c r="AR155">
        <v>1</v>
      </c>
      <c r="AS155" t="s">
        <v>52</v>
      </c>
      <c r="AT155" t="s">
        <v>53</v>
      </c>
      <c r="AV155" t="s">
        <v>54</v>
      </c>
      <c r="AW155">
        <v>59.798777114328601</v>
      </c>
      <c r="AX155" t="s">
        <v>55</v>
      </c>
    </row>
    <row r="156" spans="1:50" x14ac:dyDescent="0.3">
      <c r="A156">
        <v>153</v>
      </c>
      <c r="B156">
        <v>0</v>
      </c>
      <c r="C156">
        <v>153</v>
      </c>
      <c r="D156" t="s">
        <v>479</v>
      </c>
      <c r="E156" t="s">
        <v>480</v>
      </c>
      <c r="F156" t="s">
        <v>58</v>
      </c>
      <c r="G156" t="s">
        <v>59</v>
      </c>
      <c r="H156" t="s">
        <v>59</v>
      </c>
      <c r="I156">
        <f t="shared" si="3"/>
        <v>1.9365372000029299</v>
      </c>
      <c r="J156" t="s">
        <v>481</v>
      </c>
      <c r="K156" t="s">
        <v>61</v>
      </c>
      <c r="L156">
        <v>153</v>
      </c>
      <c r="M156">
        <v>0</v>
      </c>
      <c r="N156">
        <v>153</v>
      </c>
      <c r="O156">
        <v>0</v>
      </c>
      <c r="P156">
        <v>312.85157870000597</v>
      </c>
      <c r="Z156">
        <v>5</v>
      </c>
      <c r="AA156">
        <v>312.84078440000297</v>
      </c>
      <c r="AB156">
        <v>312.85157870000597</v>
      </c>
      <c r="AC156">
        <v>312.85157870000597</v>
      </c>
      <c r="AD156">
        <v>3.0600300058722399E-2</v>
      </c>
      <c r="AE156">
        <v>314.77742350008299</v>
      </c>
      <c r="AF156" t="s">
        <v>479</v>
      </c>
      <c r="AG156" t="s">
        <v>480</v>
      </c>
      <c r="AH156" t="s">
        <v>58</v>
      </c>
      <c r="AI156" t="s">
        <v>59</v>
      </c>
      <c r="AJ156" t="s">
        <v>59</v>
      </c>
      <c r="AK156" t="s">
        <v>481</v>
      </c>
      <c r="AL156" t="s">
        <v>61</v>
      </c>
      <c r="AQ156" t="s">
        <v>51</v>
      </c>
      <c r="AR156">
        <v>1</v>
      </c>
      <c r="AS156" t="s">
        <v>52</v>
      </c>
      <c r="AT156" t="s">
        <v>53</v>
      </c>
      <c r="AV156" t="s">
        <v>54</v>
      </c>
      <c r="AW156">
        <v>59.798777114328601</v>
      </c>
      <c r="AX156" t="s">
        <v>55</v>
      </c>
    </row>
    <row r="157" spans="1:50" x14ac:dyDescent="0.3">
      <c r="A157">
        <v>154</v>
      </c>
      <c r="B157">
        <v>0</v>
      </c>
      <c r="C157">
        <v>154</v>
      </c>
      <c r="D157" t="s">
        <v>461</v>
      </c>
      <c r="E157" t="s">
        <v>482</v>
      </c>
      <c r="F157" t="s">
        <v>58</v>
      </c>
      <c r="G157" t="s">
        <v>59</v>
      </c>
      <c r="H157" t="s">
        <v>59</v>
      </c>
      <c r="I157">
        <f t="shared" si="3"/>
        <v>1.8079920000163801</v>
      </c>
      <c r="J157" t="s">
        <v>483</v>
      </c>
      <c r="K157" t="s">
        <v>61</v>
      </c>
      <c r="L157">
        <v>154</v>
      </c>
      <c r="M157">
        <v>0</v>
      </c>
      <c r="N157">
        <v>154</v>
      </c>
      <c r="O157">
        <v>0</v>
      </c>
      <c r="P157">
        <v>314.85102410009102</v>
      </c>
      <c r="Z157">
        <v>10</v>
      </c>
      <c r="AA157">
        <v>314.83474070008299</v>
      </c>
      <c r="AB157">
        <v>314.85102410009102</v>
      </c>
      <c r="AC157">
        <v>314.85102410009102</v>
      </c>
      <c r="AD157">
        <v>5.7111800066195401E-2</v>
      </c>
      <c r="AE157">
        <v>316.64292050001598</v>
      </c>
      <c r="AF157" t="s">
        <v>461</v>
      </c>
      <c r="AG157" t="s">
        <v>482</v>
      </c>
      <c r="AH157" t="s">
        <v>58</v>
      </c>
      <c r="AI157" t="s">
        <v>59</v>
      </c>
      <c r="AJ157" t="s">
        <v>59</v>
      </c>
      <c r="AK157" t="s">
        <v>483</v>
      </c>
      <c r="AL157" t="s">
        <v>61</v>
      </c>
      <c r="AQ157" t="s">
        <v>51</v>
      </c>
      <c r="AR157">
        <v>1</v>
      </c>
      <c r="AS157" t="s">
        <v>52</v>
      </c>
      <c r="AT157" t="s">
        <v>53</v>
      </c>
      <c r="AV157" t="s">
        <v>54</v>
      </c>
      <c r="AW157">
        <v>59.798777114328601</v>
      </c>
      <c r="AX157" t="s">
        <v>55</v>
      </c>
    </row>
    <row r="158" spans="1:50" x14ac:dyDescent="0.3">
      <c r="A158">
        <v>155</v>
      </c>
      <c r="B158">
        <v>0</v>
      </c>
      <c r="C158">
        <v>155</v>
      </c>
      <c r="D158" t="s">
        <v>484</v>
      </c>
      <c r="E158" t="s">
        <v>485</v>
      </c>
      <c r="F158" t="s">
        <v>58</v>
      </c>
      <c r="G158" t="s">
        <v>59</v>
      </c>
      <c r="H158" t="s">
        <v>59</v>
      </c>
      <c r="I158">
        <f t="shared" si="3"/>
        <v>1.8690359999891299</v>
      </c>
      <c r="J158" t="s">
        <v>486</v>
      </c>
      <c r="K158" t="s">
        <v>61</v>
      </c>
      <c r="L158">
        <v>155</v>
      </c>
      <c r="M158">
        <v>0</v>
      </c>
      <c r="N158">
        <v>155</v>
      </c>
      <c r="O158">
        <v>0</v>
      </c>
      <c r="P158">
        <v>316.685490400064</v>
      </c>
      <c r="Z158">
        <v>10</v>
      </c>
      <c r="AA158">
        <v>316.67333540006001</v>
      </c>
      <c r="AB158">
        <v>316.685490400064</v>
      </c>
      <c r="AC158">
        <v>316.685490400064</v>
      </c>
      <c r="AD158">
        <v>3.0017899931408399E-2</v>
      </c>
      <c r="AE158">
        <v>318.54250880004798</v>
      </c>
      <c r="AF158" t="s">
        <v>484</v>
      </c>
      <c r="AG158" t="s">
        <v>485</v>
      </c>
      <c r="AH158" t="s">
        <v>58</v>
      </c>
      <c r="AI158" t="s">
        <v>59</v>
      </c>
      <c r="AJ158" t="s">
        <v>59</v>
      </c>
      <c r="AK158" t="s">
        <v>486</v>
      </c>
      <c r="AL158" t="s">
        <v>61</v>
      </c>
      <c r="AQ158" t="s">
        <v>51</v>
      </c>
      <c r="AR158">
        <v>1</v>
      </c>
      <c r="AS158" t="s">
        <v>52</v>
      </c>
      <c r="AT158" t="s">
        <v>53</v>
      </c>
      <c r="AV158" t="s">
        <v>54</v>
      </c>
      <c r="AW158">
        <v>59.798777114328601</v>
      </c>
      <c r="AX158" t="s">
        <v>55</v>
      </c>
    </row>
    <row r="159" spans="1:50" x14ac:dyDescent="0.3">
      <c r="A159">
        <v>156</v>
      </c>
      <c r="B159">
        <v>0</v>
      </c>
      <c r="C159">
        <v>156</v>
      </c>
      <c r="D159" t="s">
        <v>487</v>
      </c>
      <c r="E159" t="s">
        <v>488</v>
      </c>
      <c r="F159" t="s">
        <v>58</v>
      </c>
      <c r="G159" t="s">
        <v>59</v>
      </c>
      <c r="H159" t="s">
        <v>59</v>
      </c>
      <c r="I159">
        <f t="shared" si="3"/>
        <v>1.99544600001536</v>
      </c>
      <c r="J159" t="s">
        <v>489</v>
      </c>
      <c r="K159" t="s">
        <v>61</v>
      </c>
      <c r="L159">
        <v>156</v>
      </c>
      <c r="M159">
        <v>0</v>
      </c>
      <c r="N159">
        <v>156</v>
      </c>
      <c r="O159">
        <v>0</v>
      </c>
      <c r="P159">
        <v>318.61690170003499</v>
      </c>
      <c r="Z159">
        <v>10</v>
      </c>
      <c r="AA159">
        <v>318.59776850009803</v>
      </c>
      <c r="AB159">
        <v>318.61690170003499</v>
      </c>
      <c r="AC159">
        <v>318.61690170003499</v>
      </c>
      <c r="AD159">
        <v>5.49613999901339E-2</v>
      </c>
      <c r="AE159">
        <v>320.59340130002198</v>
      </c>
      <c r="AF159" t="s">
        <v>487</v>
      </c>
      <c r="AG159" t="s">
        <v>488</v>
      </c>
      <c r="AH159" t="s">
        <v>58</v>
      </c>
      <c r="AI159" t="s">
        <v>59</v>
      </c>
      <c r="AJ159" t="s">
        <v>59</v>
      </c>
      <c r="AK159" t="s">
        <v>489</v>
      </c>
      <c r="AL159" t="s">
        <v>61</v>
      </c>
      <c r="AQ159" t="s">
        <v>51</v>
      </c>
      <c r="AR159">
        <v>1</v>
      </c>
      <c r="AS159" t="s">
        <v>52</v>
      </c>
      <c r="AT159" t="s">
        <v>53</v>
      </c>
      <c r="AV159" t="s">
        <v>54</v>
      </c>
      <c r="AW159">
        <v>59.798777114328601</v>
      </c>
      <c r="AX159" t="s">
        <v>55</v>
      </c>
    </row>
    <row r="160" spans="1:50" x14ac:dyDescent="0.3">
      <c r="A160">
        <v>157</v>
      </c>
      <c r="B160">
        <v>0</v>
      </c>
      <c r="C160">
        <v>157</v>
      </c>
      <c r="D160" t="s">
        <v>490</v>
      </c>
      <c r="E160" t="s">
        <v>327</v>
      </c>
      <c r="F160" t="s">
        <v>58</v>
      </c>
      <c r="G160" t="s">
        <v>59</v>
      </c>
      <c r="H160" t="s">
        <v>59</v>
      </c>
      <c r="J160" t="s">
        <v>491</v>
      </c>
      <c r="K160" t="s">
        <v>404</v>
      </c>
      <c r="L160">
        <v>157</v>
      </c>
      <c r="M160">
        <v>0</v>
      </c>
      <c r="N160">
        <v>157</v>
      </c>
      <c r="O160">
        <v>0</v>
      </c>
      <c r="P160">
        <v>320.62399990006799</v>
      </c>
      <c r="Z160">
        <v>5</v>
      </c>
      <c r="AA160">
        <v>320.61610510002299</v>
      </c>
      <c r="AB160">
        <v>320.62399990006799</v>
      </c>
      <c r="AC160">
        <v>320.62399990006799</v>
      </c>
      <c r="AD160">
        <v>2.2461699903942599E-2</v>
      </c>
      <c r="AE160">
        <v>322.14337870001299</v>
      </c>
      <c r="AF160" t="s">
        <v>490</v>
      </c>
      <c r="AG160" t="s">
        <v>327</v>
      </c>
      <c r="AH160" t="s">
        <v>58</v>
      </c>
      <c r="AI160" t="s">
        <v>59</v>
      </c>
      <c r="AJ160" t="s">
        <v>59</v>
      </c>
      <c r="AK160" t="s">
        <v>491</v>
      </c>
      <c r="AL160" t="s">
        <v>404</v>
      </c>
      <c r="AQ160" t="s">
        <v>51</v>
      </c>
      <c r="AR160">
        <v>1</v>
      </c>
      <c r="AS160" t="s">
        <v>52</v>
      </c>
      <c r="AT160" t="s">
        <v>53</v>
      </c>
      <c r="AV160" t="s">
        <v>54</v>
      </c>
      <c r="AW160">
        <v>59.798777114328601</v>
      </c>
      <c r="AX160" t="s">
        <v>55</v>
      </c>
    </row>
    <row r="161" spans="1:50" x14ac:dyDescent="0.3">
      <c r="A161">
        <v>158</v>
      </c>
      <c r="B161">
        <v>0</v>
      </c>
      <c r="C161">
        <v>158</v>
      </c>
      <c r="D161" t="s">
        <v>492</v>
      </c>
      <c r="E161" t="s">
        <v>493</v>
      </c>
      <c r="F161" t="s">
        <v>58</v>
      </c>
      <c r="G161" t="s">
        <v>59</v>
      </c>
      <c r="H161" t="s">
        <v>59</v>
      </c>
      <c r="I161">
        <f t="shared" ref="I161:I195" si="4">VALUE(SUBSTITUTE(SUBSTITUTE(J161,"[",""),"]",""))</f>
        <v>1.42966739996336</v>
      </c>
      <c r="J161" t="s">
        <v>494</v>
      </c>
      <c r="K161" t="s">
        <v>61</v>
      </c>
      <c r="L161">
        <v>158</v>
      </c>
      <c r="M161">
        <v>0</v>
      </c>
      <c r="N161">
        <v>158</v>
      </c>
      <c r="O161">
        <v>0</v>
      </c>
      <c r="P161">
        <v>322.20591850008299</v>
      </c>
      <c r="Z161">
        <v>10</v>
      </c>
      <c r="AA161">
        <v>322.19561520009302</v>
      </c>
      <c r="AB161">
        <v>322.20591850008299</v>
      </c>
      <c r="AC161">
        <v>322.20591850008299</v>
      </c>
      <c r="AD161">
        <v>5.1830800017341902E-2</v>
      </c>
      <c r="AE161">
        <v>323.62537900009102</v>
      </c>
      <c r="AF161" t="s">
        <v>492</v>
      </c>
      <c r="AG161" t="s">
        <v>493</v>
      </c>
      <c r="AH161" t="s">
        <v>58</v>
      </c>
      <c r="AI161" t="s">
        <v>59</v>
      </c>
      <c r="AJ161" t="s">
        <v>59</v>
      </c>
      <c r="AK161" t="s">
        <v>494</v>
      </c>
      <c r="AL161" t="s">
        <v>61</v>
      </c>
      <c r="AQ161" t="s">
        <v>51</v>
      </c>
      <c r="AR161">
        <v>1</v>
      </c>
      <c r="AS161" t="s">
        <v>52</v>
      </c>
      <c r="AT161" t="s">
        <v>53</v>
      </c>
      <c r="AV161" t="s">
        <v>54</v>
      </c>
      <c r="AW161">
        <v>59.798777114328601</v>
      </c>
      <c r="AX161" t="s">
        <v>55</v>
      </c>
    </row>
    <row r="162" spans="1:50" x14ac:dyDescent="0.3">
      <c r="A162">
        <v>159</v>
      </c>
      <c r="B162">
        <v>0</v>
      </c>
      <c r="C162">
        <v>159</v>
      </c>
      <c r="D162" t="s">
        <v>495</v>
      </c>
      <c r="E162" t="s">
        <v>496</v>
      </c>
      <c r="F162" t="s">
        <v>58</v>
      </c>
      <c r="G162" t="s">
        <v>59</v>
      </c>
      <c r="H162" t="s">
        <v>59</v>
      </c>
      <c r="I162">
        <f t="shared" si="4"/>
        <v>1.6045902000041601</v>
      </c>
      <c r="J162" t="s">
        <v>497</v>
      </c>
      <c r="K162" t="s">
        <v>61</v>
      </c>
      <c r="L162">
        <v>159</v>
      </c>
      <c r="M162">
        <v>0</v>
      </c>
      <c r="N162">
        <v>159</v>
      </c>
      <c r="O162">
        <v>0</v>
      </c>
      <c r="P162">
        <v>323.66996110009399</v>
      </c>
      <c r="Z162">
        <v>10</v>
      </c>
      <c r="AA162">
        <v>323.65465879999101</v>
      </c>
      <c r="AB162">
        <v>323.66996110009399</v>
      </c>
      <c r="AC162">
        <v>323.66996110009399</v>
      </c>
      <c r="AD162">
        <v>2.9057100065983801E-2</v>
      </c>
      <c r="AE162">
        <v>325.25939210003702</v>
      </c>
      <c r="AF162" t="s">
        <v>495</v>
      </c>
      <c r="AG162" t="s">
        <v>496</v>
      </c>
      <c r="AH162" t="s">
        <v>58</v>
      </c>
      <c r="AI162" t="s">
        <v>59</v>
      </c>
      <c r="AJ162" t="s">
        <v>59</v>
      </c>
      <c r="AK162" t="s">
        <v>497</v>
      </c>
      <c r="AL162" t="s">
        <v>61</v>
      </c>
      <c r="AQ162" t="s">
        <v>51</v>
      </c>
      <c r="AR162">
        <v>1</v>
      </c>
      <c r="AS162" t="s">
        <v>52</v>
      </c>
      <c r="AT162" t="s">
        <v>53</v>
      </c>
      <c r="AV162" t="s">
        <v>54</v>
      </c>
      <c r="AW162">
        <v>59.798777114328601</v>
      </c>
      <c r="AX162" t="s">
        <v>55</v>
      </c>
    </row>
    <row r="163" spans="1:50" x14ac:dyDescent="0.3">
      <c r="A163">
        <v>160</v>
      </c>
      <c r="B163">
        <v>0</v>
      </c>
      <c r="C163">
        <v>160</v>
      </c>
      <c r="D163" t="s">
        <v>282</v>
      </c>
      <c r="E163" t="s">
        <v>314</v>
      </c>
      <c r="F163" t="s">
        <v>58</v>
      </c>
      <c r="G163" t="s">
        <v>59</v>
      </c>
      <c r="H163" t="s">
        <v>59</v>
      </c>
      <c r="I163">
        <f t="shared" si="4"/>
        <v>1.2785562999779301</v>
      </c>
      <c r="J163" t="s">
        <v>498</v>
      </c>
      <c r="K163" t="s">
        <v>61</v>
      </c>
      <c r="L163">
        <v>160</v>
      </c>
      <c r="M163">
        <v>0</v>
      </c>
      <c r="N163">
        <v>160</v>
      </c>
      <c r="O163">
        <v>0</v>
      </c>
      <c r="P163">
        <v>325.331906200037</v>
      </c>
      <c r="Z163">
        <v>10</v>
      </c>
      <c r="AA163">
        <v>325.31329000007798</v>
      </c>
      <c r="AB163">
        <v>325.331906200037</v>
      </c>
      <c r="AC163">
        <v>325.331906200037</v>
      </c>
      <c r="AD163">
        <v>5.3640199941582901E-2</v>
      </c>
      <c r="AE163">
        <v>326.591939100064</v>
      </c>
      <c r="AF163" t="s">
        <v>282</v>
      </c>
      <c r="AG163" t="s">
        <v>314</v>
      </c>
      <c r="AH163" t="s">
        <v>58</v>
      </c>
      <c r="AI163" t="s">
        <v>59</v>
      </c>
      <c r="AJ163" t="s">
        <v>59</v>
      </c>
      <c r="AK163" t="s">
        <v>498</v>
      </c>
      <c r="AL163" t="s">
        <v>61</v>
      </c>
      <c r="AQ163" t="s">
        <v>51</v>
      </c>
      <c r="AR163">
        <v>1</v>
      </c>
      <c r="AS163" t="s">
        <v>52</v>
      </c>
      <c r="AT163" t="s">
        <v>53</v>
      </c>
      <c r="AV163" t="s">
        <v>54</v>
      </c>
      <c r="AW163">
        <v>59.798777114328601</v>
      </c>
      <c r="AX163" t="s">
        <v>55</v>
      </c>
    </row>
    <row r="164" spans="1:50" x14ac:dyDescent="0.3">
      <c r="A164">
        <v>161</v>
      </c>
      <c r="B164">
        <v>0</v>
      </c>
      <c r="C164">
        <v>161</v>
      </c>
      <c r="D164" t="s">
        <v>499</v>
      </c>
      <c r="E164" t="s">
        <v>500</v>
      </c>
      <c r="F164" t="s">
        <v>58</v>
      </c>
      <c r="G164" t="s">
        <v>59</v>
      </c>
      <c r="H164" t="s">
        <v>59</v>
      </c>
      <c r="I164">
        <f t="shared" si="4"/>
        <v>2.0682040998944999</v>
      </c>
      <c r="J164" t="s">
        <v>501</v>
      </c>
      <c r="K164" t="s">
        <v>61</v>
      </c>
      <c r="L164">
        <v>161</v>
      </c>
      <c r="M164">
        <v>0</v>
      </c>
      <c r="N164">
        <v>161</v>
      </c>
      <c r="O164">
        <v>0</v>
      </c>
      <c r="P164">
        <v>326.63921980000998</v>
      </c>
      <c r="Z164">
        <v>10</v>
      </c>
      <c r="AA164">
        <v>326.623523300047</v>
      </c>
      <c r="AB164">
        <v>326.63921980000998</v>
      </c>
      <c r="AC164">
        <v>326.63921980000998</v>
      </c>
      <c r="AD164">
        <v>3.1363100046291899E-2</v>
      </c>
      <c r="AE164">
        <v>328.69182130007499</v>
      </c>
      <c r="AF164" t="s">
        <v>499</v>
      </c>
      <c r="AG164" t="s">
        <v>500</v>
      </c>
      <c r="AH164" t="s">
        <v>58</v>
      </c>
      <c r="AI164" t="s">
        <v>59</v>
      </c>
      <c r="AJ164" t="s">
        <v>59</v>
      </c>
      <c r="AK164" t="s">
        <v>501</v>
      </c>
      <c r="AL164" t="s">
        <v>61</v>
      </c>
      <c r="AQ164" t="s">
        <v>51</v>
      </c>
      <c r="AR164">
        <v>1</v>
      </c>
      <c r="AS164" t="s">
        <v>52</v>
      </c>
      <c r="AT164" t="s">
        <v>53</v>
      </c>
      <c r="AV164" t="s">
        <v>54</v>
      </c>
      <c r="AW164">
        <v>59.798777114328601</v>
      </c>
      <c r="AX164" t="s">
        <v>55</v>
      </c>
    </row>
    <row r="165" spans="1:50" x14ac:dyDescent="0.3">
      <c r="A165">
        <v>162</v>
      </c>
      <c r="B165">
        <v>0</v>
      </c>
      <c r="C165">
        <v>162</v>
      </c>
      <c r="D165" t="s">
        <v>443</v>
      </c>
      <c r="E165" t="s">
        <v>502</v>
      </c>
      <c r="F165" t="s">
        <v>58</v>
      </c>
      <c r="G165" t="s">
        <v>59</v>
      </c>
      <c r="H165" t="s">
        <v>59</v>
      </c>
      <c r="I165">
        <f t="shared" si="4"/>
        <v>1.7265730999642901</v>
      </c>
      <c r="J165" t="s">
        <v>503</v>
      </c>
      <c r="K165" t="s">
        <v>61</v>
      </c>
      <c r="L165">
        <v>162</v>
      </c>
      <c r="M165">
        <v>0</v>
      </c>
      <c r="N165">
        <v>162</v>
      </c>
      <c r="O165">
        <v>0</v>
      </c>
      <c r="P165">
        <v>328.74882930004901</v>
      </c>
      <c r="Z165">
        <v>10</v>
      </c>
      <c r="AA165">
        <v>328.73155660007598</v>
      </c>
      <c r="AB165">
        <v>328.74882930004901</v>
      </c>
      <c r="AC165">
        <v>328.74882930004901</v>
      </c>
      <c r="AD165">
        <v>3.9550200104713398E-2</v>
      </c>
      <c r="AE165">
        <v>330.45823620003603</v>
      </c>
      <c r="AF165" t="s">
        <v>443</v>
      </c>
      <c r="AG165" t="s">
        <v>502</v>
      </c>
      <c r="AH165" t="s">
        <v>58</v>
      </c>
      <c r="AI165" t="s">
        <v>59</v>
      </c>
      <c r="AJ165" t="s">
        <v>59</v>
      </c>
      <c r="AK165" t="s">
        <v>503</v>
      </c>
      <c r="AL165" t="s">
        <v>61</v>
      </c>
      <c r="AQ165" t="s">
        <v>51</v>
      </c>
      <c r="AR165">
        <v>1</v>
      </c>
      <c r="AS165" t="s">
        <v>52</v>
      </c>
      <c r="AT165" t="s">
        <v>53</v>
      </c>
      <c r="AV165" t="s">
        <v>54</v>
      </c>
      <c r="AW165">
        <v>59.798777114328601</v>
      </c>
      <c r="AX165" t="s">
        <v>55</v>
      </c>
    </row>
    <row r="166" spans="1:50" x14ac:dyDescent="0.3">
      <c r="A166">
        <v>163</v>
      </c>
      <c r="B166">
        <v>0</v>
      </c>
      <c r="C166">
        <v>163</v>
      </c>
      <c r="D166" t="s">
        <v>504</v>
      </c>
      <c r="E166" t="s">
        <v>505</v>
      </c>
      <c r="F166" t="s">
        <v>58</v>
      </c>
      <c r="G166" t="s">
        <v>59</v>
      </c>
      <c r="H166" t="s">
        <v>59</v>
      </c>
      <c r="I166">
        <f t="shared" si="4"/>
        <v>1.2709152000024899</v>
      </c>
      <c r="J166" t="s">
        <v>506</v>
      </c>
      <c r="K166" t="s">
        <v>61</v>
      </c>
      <c r="L166">
        <v>163</v>
      </c>
      <c r="M166">
        <v>0</v>
      </c>
      <c r="N166">
        <v>163</v>
      </c>
      <c r="O166">
        <v>0</v>
      </c>
      <c r="P166">
        <v>330.49863080005099</v>
      </c>
      <c r="Z166">
        <v>5</v>
      </c>
      <c r="AA166">
        <v>330.48776970000398</v>
      </c>
      <c r="AB166">
        <v>330.49863080005099</v>
      </c>
      <c r="AC166">
        <v>330.49863080005099</v>
      </c>
      <c r="AD166">
        <v>2.9276299988850899E-2</v>
      </c>
      <c r="AE166">
        <v>331.75881190004202</v>
      </c>
      <c r="AF166" t="s">
        <v>504</v>
      </c>
      <c r="AG166" t="s">
        <v>505</v>
      </c>
      <c r="AH166" t="s">
        <v>58</v>
      </c>
      <c r="AI166" t="s">
        <v>59</v>
      </c>
      <c r="AJ166" t="s">
        <v>59</v>
      </c>
      <c r="AK166" t="s">
        <v>506</v>
      </c>
      <c r="AL166" t="s">
        <v>61</v>
      </c>
      <c r="AQ166" t="s">
        <v>51</v>
      </c>
      <c r="AR166">
        <v>1</v>
      </c>
      <c r="AS166" t="s">
        <v>52</v>
      </c>
      <c r="AT166" t="s">
        <v>53</v>
      </c>
      <c r="AV166" t="s">
        <v>54</v>
      </c>
      <c r="AW166">
        <v>59.798777114328601</v>
      </c>
      <c r="AX166" t="s">
        <v>55</v>
      </c>
    </row>
    <row r="167" spans="1:50" x14ac:dyDescent="0.3">
      <c r="A167">
        <v>164</v>
      </c>
      <c r="B167">
        <v>0</v>
      </c>
      <c r="C167">
        <v>164</v>
      </c>
      <c r="D167" t="s">
        <v>507</v>
      </c>
      <c r="E167" t="s">
        <v>508</v>
      </c>
      <c r="F167" t="s">
        <v>58</v>
      </c>
      <c r="G167" t="s">
        <v>59</v>
      </c>
      <c r="H167" t="s">
        <v>59</v>
      </c>
      <c r="I167">
        <f t="shared" si="4"/>
        <v>1.6908361000241701</v>
      </c>
      <c r="J167" t="s">
        <v>509</v>
      </c>
      <c r="K167" t="s">
        <v>61</v>
      </c>
      <c r="L167">
        <v>164</v>
      </c>
      <c r="M167">
        <v>0</v>
      </c>
      <c r="N167">
        <v>164</v>
      </c>
      <c r="O167">
        <v>0</v>
      </c>
      <c r="P167">
        <v>331.81450680003002</v>
      </c>
      <c r="Z167">
        <v>10</v>
      </c>
      <c r="AA167">
        <v>331.80088160000702</v>
      </c>
      <c r="AB167">
        <v>331.81450680003002</v>
      </c>
      <c r="AC167">
        <v>331.81450680003002</v>
      </c>
      <c r="AD167">
        <v>4.1831100010313003E-2</v>
      </c>
      <c r="AE167">
        <v>333.49182990007102</v>
      </c>
      <c r="AF167" t="s">
        <v>507</v>
      </c>
      <c r="AG167" t="s">
        <v>508</v>
      </c>
      <c r="AH167" t="s">
        <v>58</v>
      </c>
      <c r="AI167" t="s">
        <v>59</v>
      </c>
      <c r="AJ167" t="s">
        <v>59</v>
      </c>
      <c r="AK167" t="s">
        <v>509</v>
      </c>
      <c r="AL167" t="s">
        <v>61</v>
      </c>
      <c r="AQ167" t="s">
        <v>51</v>
      </c>
      <c r="AR167">
        <v>1</v>
      </c>
      <c r="AS167" t="s">
        <v>52</v>
      </c>
      <c r="AT167" t="s">
        <v>53</v>
      </c>
      <c r="AV167" t="s">
        <v>54</v>
      </c>
      <c r="AW167">
        <v>59.798777114328601</v>
      </c>
      <c r="AX167" t="s">
        <v>55</v>
      </c>
    </row>
    <row r="168" spans="1:50" x14ac:dyDescent="0.3">
      <c r="A168">
        <v>165</v>
      </c>
      <c r="B168">
        <v>0</v>
      </c>
      <c r="C168">
        <v>165</v>
      </c>
      <c r="D168" t="s">
        <v>510</v>
      </c>
      <c r="E168" t="s">
        <v>511</v>
      </c>
      <c r="F168" t="s">
        <v>58</v>
      </c>
      <c r="G168" t="s">
        <v>59</v>
      </c>
      <c r="H168" t="s">
        <v>59</v>
      </c>
      <c r="I168">
        <f t="shared" si="4"/>
        <v>1.83512959990184</v>
      </c>
      <c r="J168" t="s">
        <v>512</v>
      </c>
      <c r="K168" t="s">
        <v>61</v>
      </c>
      <c r="L168">
        <v>165</v>
      </c>
      <c r="M168">
        <v>0</v>
      </c>
      <c r="N168">
        <v>165</v>
      </c>
      <c r="O168">
        <v>0</v>
      </c>
      <c r="P168">
        <v>333.515394299989</v>
      </c>
      <c r="Z168">
        <v>5</v>
      </c>
      <c r="AA168">
        <v>333.50626809999801</v>
      </c>
      <c r="AB168">
        <v>333.515394299989</v>
      </c>
      <c r="AC168">
        <v>333.515394299989</v>
      </c>
      <c r="AD168">
        <v>1.42082999227568E-2</v>
      </c>
      <c r="AE168">
        <v>335.34146110003297</v>
      </c>
      <c r="AF168" t="s">
        <v>510</v>
      </c>
      <c r="AG168" t="s">
        <v>511</v>
      </c>
      <c r="AH168" t="s">
        <v>58</v>
      </c>
      <c r="AI168" t="s">
        <v>59</v>
      </c>
      <c r="AJ168" t="s">
        <v>59</v>
      </c>
      <c r="AK168" t="s">
        <v>512</v>
      </c>
      <c r="AL168" t="s">
        <v>61</v>
      </c>
      <c r="AQ168" t="s">
        <v>51</v>
      </c>
      <c r="AR168">
        <v>1</v>
      </c>
      <c r="AS168" t="s">
        <v>52</v>
      </c>
      <c r="AT168" t="s">
        <v>53</v>
      </c>
      <c r="AV168" t="s">
        <v>54</v>
      </c>
      <c r="AW168">
        <v>59.798777114328601</v>
      </c>
      <c r="AX168" t="s">
        <v>55</v>
      </c>
    </row>
    <row r="169" spans="1:50" x14ac:dyDescent="0.3">
      <c r="A169">
        <v>166</v>
      </c>
      <c r="B169">
        <v>0</v>
      </c>
      <c r="C169">
        <v>166</v>
      </c>
      <c r="D169" t="s">
        <v>513</v>
      </c>
      <c r="E169" t="s">
        <v>514</v>
      </c>
      <c r="F169" t="s">
        <v>58</v>
      </c>
      <c r="G169" t="s">
        <v>59</v>
      </c>
      <c r="H169" t="s">
        <v>59</v>
      </c>
      <c r="I169">
        <f t="shared" si="4"/>
        <v>1.82195600005798</v>
      </c>
      <c r="J169" t="s">
        <v>515</v>
      </c>
      <c r="K169" t="s">
        <v>61</v>
      </c>
      <c r="L169">
        <v>166</v>
      </c>
      <c r="M169">
        <v>0</v>
      </c>
      <c r="N169">
        <v>166</v>
      </c>
      <c r="O169">
        <v>0</v>
      </c>
      <c r="P169">
        <v>335.36202620004701</v>
      </c>
      <c r="Z169">
        <v>5</v>
      </c>
      <c r="AA169">
        <v>335.35413280001302</v>
      </c>
      <c r="AB169">
        <v>335.36202620004701</v>
      </c>
      <c r="AC169">
        <v>335.36202620004701</v>
      </c>
      <c r="AD169">
        <v>1.25725000398233E-2</v>
      </c>
      <c r="AE169">
        <v>337.176210100064</v>
      </c>
      <c r="AF169" t="s">
        <v>513</v>
      </c>
      <c r="AG169" t="s">
        <v>514</v>
      </c>
      <c r="AH169" t="s">
        <v>58</v>
      </c>
      <c r="AI169" t="s">
        <v>59</v>
      </c>
      <c r="AJ169" t="s">
        <v>59</v>
      </c>
      <c r="AK169" t="s">
        <v>515</v>
      </c>
      <c r="AL169" t="s">
        <v>61</v>
      </c>
      <c r="AQ169" t="s">
        <v>51</v>
      </c>
      <c r="AR169">
        <v>1</v>
      </c>
      <c r="AS169" t="s">
        <v>52</v>
      </c>
      <c r="AT169" t="s">
        <v>53</v>
      </c>
      <c r="AV169" t="s">
        <v>54</v>
      </c>
      <c r="AW169">
        <v>59.798777114328601</v>
      </c>
      <c r="AX169" t="s">
        <v>55</v>
      </c>
    </row>
    <row r="170" spans="1:50" x14ac:dyDescent="0.3">
      <c r="A170">
        <v>167</v>
      </c>
      <c r="B170">
        <v>0</v>
      </c>
      <c r="C170">
        <v>167</v>
      </c>
      <c r="D170" t="s">
        <v>516</v>
      </c>
      <c r="E170" t="s">
        <v>517</v>
      </c>
      <c r="F170" t="s">
        <v>58</v>
      </c>
      <c r="G170" t="s">
        <v>59</v>
      </c>
      <c r="H170" t="s">
        <v>59</v>
      </c>
      <c r="I170">
        <f t="shared" si="4"/>
        <v>1.8423303999006699</v>
      </c>
      <c r="J170" t="s">
        <v>518</v>
      </c>
      <c r="K170" t="s">
        <v>61</v>
      </c>
      <c r="L170">
        <v>167</v>
      </c>
      <c r="M170">
        <v>0</v>
      </c>
      <c r="N170">
        <v>167</v>
      </c>
      <c r="O170">
        <v>0</v>
      </c>
      <c r="P170">
        <v>337.20682080008498</v>
      </c>
      <c r="Z170">
        <v>5</v>
      </c>
      <c r="AA170">
        <v>337.20026569999698</v>
      </c>
      <c r="AB170">
        <v>337.20682080008498</v>
      </c>
      <c r="AC170">
        <v>337.20682080008498</v>
      </c>
      <c r="AD170">
        <v>2.3849599994719001E-2</v>
      </c>
      <c r="AE170">
        <v>339.04272190004099</v>
      </c>
      <c r="AF170" t="s">
        <v>516</v>
      </c>
      <c r="AG170" t="s">
        <v>517</v>
      </c>
      <c r="AH170" t="s">
        <v>58</v>
      </c>
      <c r="AI170" t="s">
        <v>59</v>
      </c>
      <c r="AJ170" t="s">
        <v>59</v>
      </c>
      <c r="AK170" t="s">
        <v>518</v>
      </c>
      <c r="AL170" t="s">
        <v>61</v>
      </c>
      <c r="AQ170" t="s">
        <v>51</v>
      </c>
      <c r="AR170">
        <v>1</v>
      </c>
      <c r="AS170" t="s">
        <v>52</v>
      </c>
      <c r="AT170" t="s">
        <v>53</v>
      </c>
      <c r="AV170" t="s">
        <v>54</v>
      </c>
      <c r="AW170">
        <v>59.798777114328601</v>
      </c>
      <c r="AX170" t="s">
        <v>55</v>
      </c>
    </row>
    <row r="171" spans="1:50" x14ac:dyDescent="0.3">
      <c r="A171">
        <v>168</v>
      </c>
      <c r="B171">
        <v>0</v>
      </c>
      <c r="C171">
        <v>168</v>
      </c>
      <c r="D171" t="s">
        <v>519</v>
      </c>
      <c r="E171" t="s">
        <v>520</v>
      </c>
      <c r="F171" t="s">
        <v>58</v>
      </c>
      <c r="G171" t="s">
        <v>59</v>
      </c>
      <c r="H171" t="s">
        <v>59</v>
      </c>
      <c r="I171">
        <f t="shared" si="4"/>
        <v>1.96833340008743</v>
      </c>
      <c r="J171" t="s">
        <v>521</v>
      </c>
      <c r="K171" t="s">
        <v>61</v>
      </c>
      <c r="L171">
        <v>168</v>
      </c>
      <c r="M171">
        <v>0</v>
      </c>
      <c r="N171">
        <v>168</v>
      </c>
      <c r="O171">
        <v>0</v>
      </c>
      <c r="P171">
        <v>339.06821380008398</v>
      </c>
      <c r="Z171">
        <v>5</v>
      </c>
      <c r="AA171">
        <v>339.05732340004698</v>
      </c>
      <c r="AB171">
        <v>339.06821380008398</v>
      </c>
      <c r="AC171">
        <v>339.06821380008398</v>
      </c>
      <c r="AD171">
        <v>1.43963999580591E-2</v>
      </c>
      <c r="AE171">
        <v>341.02584120002501</v>
      </c>
      <c r="AF171" t="s">
        <v>519</v>
      </c>
      <c r="AG171" t="s">
        <v>520</v>
      </c>
      <c r="AH171" t="s">
        <v>58</v>
      </c>
      <c r="AI171" t="s">
        <v>59</v>
      </c>
      <c r="AJ171" t="s">
        <v>59</v>
      </c>
      <c r="AK171" t="s">
        <v>521</v>
      </c>
      <c r="AL171" t="s">
        <v>61</v>
      </c>
      <c r="AQ171" t="s">
        <v>51</v>
      </c>
      <c r="AR171">
        <v>1</v>
      </c>
      <c r="AS171" t="s">
        <v>52</v>
      </c>
      <c r="AT171" t="s">
        <v>53</v>
      </c>
      <c r="AV171" t="s">
        <v>54</v>
      </c>
      <c r="AW171">
        <v>59.798777114328601</v>
      </c>
      <c r="AX171" t="s">
        <v>55</v>
      </c>
    </row>
    <row r="172" spans="1:50" x14ac:dyDescent="0.3">
      <c r="A172">
        <v>169</v>
      </c>
      <c r="B172">
        <v>0</v>
      </c>
      <c r="C172">
        <v>169</v>
      </c>
      <c r="D172" t="s">
        <v>522</v>
      </c>
      <c r="E172" t="s">
        <v>523</v>
      </c>
      <c r="F172" t="s">
        <v>58</v>
      </c>
      <c r="G172" t="s">
        <v>59</v>
      </c>
      <c r="H172" t="s">
        <v>59</v>
      </c>
      <c r="I172">
        <f t="shared" si="4"/>
        <v>1.38968060002662</v>
      </c>
      <c r="J172" t="s">
        <v>524</v>
      </c>
      <c r="K172" t="s">
        <v>61</v>
      </c>
      <c r="L172">
        <v>169</v>
      </c>
      <c r="M172">
        <v>0</v>
      </c>
      <c r="N172">
        <v>169</v>
      </c>
      <c r="O172">
        <v>0</v>
      </c>
      <c r="P172">
        <v>341.08718250005001</v>
      </c>
      <c r="Z172">
        <v>10</v>
      </c>
      <c r="AA172">
        <v>341.07031440001401</v>
      </c>
      <c r="AB172">
        <v>341.08718250005001</v>
      </c>
      <c r="AC172">
        <v>341.08718250005001</v>
      </c>
      <c r="AD172">
        <v>4.4106899993494098E-2</v>
      </c>
      <c r="AE172">
        <v>342.46013160003298</v>
      </c>
      <c r="AF172" t="s">
        <v>522</v>
      </c>
      <c r="AG172" t="s">
        <v>523</v>
      </c>
      <c r="AH172" t="s">
        <v>58</v>
      </c>
      <c r="AI172" t="s">
        <v>59</v>
      </c>
      <c r="AJ172" t="s">
        <v>59</v>
      </c>
      <c r="AK172" t="s">
        <v>524</v>
      </c>
      <c r="AL172" t="s">
        <v>61</v>
      </c>
      <c r="AQ172" t="s">
        <v>51</v>
      </c>
      <c r="AR172">
        <v>1</v>
      </c>
      <c r="AS172" t="s">
        <v>52</v>
      </c>
      <c r="AT172" t="s">
        <v>53</v>
      </c>
      <c r="AV172" t="s">
        <v>54</v>
      </c>
      <c r="AW172">
        <v>59.798777114328601</v>
      </c>
      <c r="AX172" t="s">
        <v>55</v>
      </c>
    </row>
    <row r="173" spans="1:50" x14ac:dyDescent="0.3">
      <c r="A173">
        <v>170</v>
      </c>
      <c r="B173">
        <v>0</v>
      </c>
      <c r="C173">
        <v>170</v>
      </c>
      <c r="D173" t="s">
        <v>525</v>
      </c>
      <c r="E173" t="s">
        <v>526</v>
      </c>
      <c r="F173" t="s">
        <v>58</v>
      </c>
      <c r="G173" t="s">
        <v>59</v>
      </c>
      <c r="H173" t="s">
        <v>59</v>
      </c>
      <c r="I173">
        <f t="shared" si="4"/>
        <v>1.3810679999878599</v>
      </c>
      <c r="J173" t="s">
        <v>527</v>
      </c>
      <c r="K173" t="s">
        <v>61</v>
      </c>
      <c r="L173">
        <v>170</v>
      </c>
      <c r="M173">
        <v>0</v>
      </c>
      <c r="N173">
        <v>170</v>
      </c>
      <c r="O173">
        <v>0</v>
      </c>
      <c r="P173">
        <v>342.53165870008502</v>
      </c>
      <c r="Z173">
        <v>10</v>
      </c>
      <c r="AA173">
        <v>342.511409100028</v>
      </c>
      <c r="AB173">
        <v>342.53165870008502</v>
      </c>
      <c r="AC173">
        <v>342.53165870008502</v>
      </c>
      <c r="AD173">
        <v>5.0976400030776803E-2</v>
      </c>
      <c r="AE173">
        <v>343.89268390007697</v>
      </c>
      <c r="AF173" t="s">
        <v>525</v>
      </c>
      <c r="AG173" t="s">
        <v>526</v>
      </c>
      <c r="AH173" t="s">
        <v>58</v>
      </c>
      <c r="AI173" t="s">
        <v>59</v>
      </c>
      <c r="AJ173" t="s">
        <v>59</v>
      </c>
      <c r="AK173" t="s">
        <v>527</v>
      </c>
      <c r="AL173" t="s">
        <v>61</v>
      </c>
      <c r="AQ173" t="s">
        <v>51</v>
      </c>
      <c r="AR173">
        <v>1</v>
      </c>
      <c r="AS173" t="s">
        <v>52</v>
      </c>
      <c r="AT173" t="s">
        <v>53</v>
      </c>
      <c r="AV173" t="s">
        <v>54</v>
      </c>
      <c r="AW173">
        <v>59.798777114328601</v>
      </c>
      <c r="AX173" t="s">
        <v>55</v>
      </c>
    </row>
    <row r="174" spans="1:50" x14ac:dyDescent="0.3">
      <c r="A174">
        <v>171</v>
      </c>
      <c r="B174">
        <v>0</v>
      </c>
      <c r="C174">
        <v>171</v>
      </c>
      <c r="D174" t="s">
        <v>528</v>
      </c>
      <c r="E174" t="s">
        <v>529</v>
      </c>
      <c r="F174" t="s">
        <v>58</v>
      </c>
      <c r="G174" t="s">
        <v>59</v>
      </c>
      <c r="H174" t="s">
        <v>59</v>
      </c>
      <c r="I174">
        <f t="shared" si="4"/>
        <v>1.8263223000103599</v>
      </c>
      <c r="J174" t="s">
        <v>530</v>
      </c>
      <c r="K174" t="s">
        <v>61</v>
      </c>
      <c r="L174">
        <v>171</v>
      </c>
      <c r="M174">
        <v>0</v>
      </c>
      <c r="N174">
        <v>171</v>
      </c>
      <c r="O174">
        <v>0</v>
      </c>
      <c r="P174">
        <v>343.96377120004001</v>
      </c>
      <c r="Z174">
        <v>10</v>
      </c>
      <c r="AA174">
        <v>343.948026800062</v>
      </c>
      <c r="AB174">
        <v>343.96377120004001</v>
      </c>
      <c r="AC174">
        <v>343.96377120004001</v>
      </c>
      <c r="AD174">
        <v>5.49186000134795E-2</v>
      </c>
      <c r="AE174">
        <v>345.77442999998999</v>
      </c>
      <c r="AF174" t="s">
        <v>528</v>
      </c>
      <c r="AG174" t="s">
        <v>529</v>
      </c>
      <c r="AH174" t="s">
        <v>58</v>
      </c>
      <c r="AI174" t="s">
        <v>59</v>
      </c>
      <c r="AJ174" t="s">
        <v>59</v>
      </c>
      <c r="AK174" t="s">
        <v>530</v>
      </c>
      <c r="AL174" t="s">
        <v>61</v>
      </c>
      <c r="AQ174" t="s">
        <v>51</v>
      </c>
      <c r="AR174">
        <v>1</v>
      </c>
      <c r="AS174" t="s">
        <v>52</v>
      </c>
      <c r="AT174" t="s">
        <v>53</v>
      </c>
      <c r="AV174" t="s">
        <v>54</v>
      </c>
      <c r="AW174">
        <v>59.798777114328601</v>
      </c>
      <c r="AX174" t="s">
        <v>55</v>
      </c>
    </row>
    <row r="175" spans="1:50" x14ac:dyDescent="0.3">
      <c r="A175">
        <v>172</v>
      </c>
      <c r="B175">
        <v>0</v>
      </c>
      <c r="C175">
        <v>172</v>
      </c>
      <c r="D175" t="s">
        <v>531</v>
      </c>
      <c r="E175" t="s">
        <v>184</v>
      </c>
      <c r="F175" t="s">
        <v>58</v>
      </c>
      <c r="G175" t="s">
        <v>59</v>
      </c>
      <c r="H175" t="s">
        <v>59</v>
      </c>
      <c r="I175">
        <f t="shared" si="4"/>
        <v>2.5299650999950201</v>
      </c>
      <c r="J175" t="s">
        <v>532</v>
      </c>
      <c r="K175" t="s">
        <v>61</v>
      </c>
      <c r="L175">
        <v>172</v>
      </c>
      <c r="M175">
        <v>0</v>
      </c>
      <c r="N175">
        <v>172</v>
      </c>
      <c r="O175">
        <v>0</v>
      </c>
      <c r="P175">
        <v>345.82760830002297</v>
      </c>
      <c r="Z175">
        <v>10</v>
      </c>
      <c r="AA175">
        <v>345.81097700004398</v>
      </c>
      <c r="AB175">
        <v>345.82760830002297</v>
      </c>
      <c r="AC175">
        <v>345.82760830002297</v>
      </c>
      <c r="AD175">
        <v>3.6322999978437999E-2</v>
      </c>
      <c r="AE175">
        <v>348.34105570008899</v>
      </c>
      <c r="AF175" t="s">
        <v>531</v>
      </c>
      <c r="AG175" t="s">
        <v>184</v>
      </c>
      <c r="AH175" t="s">
        <v>58</v>
      </c>
      <c r="AI175" t="s">
        <v>59</v>
      </c>
      <c r="AJ175" t="s">
        <v>59</v>
      </c>
      <c r="AK175" t="s">
        <v>532</v>
      </c>
      <c r="AL175" t="s">
        <v>61</v>
      </c>
      <c r="AQ175" t="s">
        <v>51</v>
      </c>
      <c r="AR175">
        <v>1</v>
      </c>
      <c r="AS175" t="s">
        <v>52</v>
      </c>
      <c r="AT175" t="s">
        <v>53</v>
      </c>
      <c r="AV175" t="s">
        <v>54</v>
      </c>
      <c r="AW175">
        <v>59.798777114328601</v>
      </c>
      <c r="AX175" t="s">
        <v>55</v>
      </c>
    </row>
    <row r="176" spans="1:50" x14ac:dyDescent="0.3">
      <c r="A176">
        <v>173</v>
      </c>
      <c r="B176">
        <v>0</v>
      </c>
      <c r="C176">
        <v>173</v>
      </c>
      <c r="D176" t="s">
        <v>533</v>
      </c>
      <c r="E176" t="s">
        <v>510</v>
      </c>
      <c r="F176" t="s">
        <v>58</v>
      </c>
      <c r="G176" t="s">
        <v>59</v>
      </c>
      <c r="H176" t="s">
        <v>59</v>
      </c>
      <c r="I176">
        <f t="shared" si="4"/>
        <v>1.6911727000260699</v>
      </c>
      <c r="J176" t="s">
        <v>534</v>
      </c>
      <c r="K176" t="s">
        <v>61</v>
      </c>
      <c r="L176">
        <v>173</v>
      </c>
      <c r="M176">
        <v>0</v>
      </c>
      <c r="N176">
        <v>173</v>
      </c>
      <c r="O176">
        <v>0</v>
      </c>
      <c r="P176">
        <v>348.39392090006697</v>
      </c>
      <c r="Z176">
        <v>10</v>
      </c>
      <c r="AA176">
        <v>348.38323090004201</v>
      </c>
      <c r="AB176">
        <v>348.39392090006697</v>
      </c>
      <c r="AC176">
        <v>348.39392090006697</v>
      </c>
      <c r="AD176">
        <v>4.1911699925549301E-2</v>
      </c>
      <c r="AE176">
        <v>350.07458650006402</v>
      </c>
      <c r="AF176" t="s">
        <v>533</v>
      </c>
      <c r="AG176" t="s">
        <v>510</v>
      </c>
      <c r="AH176" t="s">
        <v>58</v>
      </c>
      <c r="AI176" t="s">
        <v>59</v>
      </c>
      <c r="AJ176" t="s">
        <v>59</v>
      </c>
      <c r="AK176" t="s">
        <v>534</v>
      </c>
      <c r="AL176" t="s">
        <v>61</v>
      </c>
      <c r="AQ176" t="s">
        <v>51</v>
      </c>
      <c r="AR176">
        <v>1</v>
      </c>
      <c r="AS176" t="s">
        <v>52</v>
      </c>
      <c r="AT176" t="s">
        <v>53</v>
      </c>
      <c r="AV176" t="s">
        <v>54</v>
      </c>
      <c r="AW176">
        <v>59.798777114328601</v>
      </c>
      <c r="AX176" t="s">
        <v>55</v>
      </c>
    </row>
    <row r="177" spans="1:50" x14ac:dyDescent="0.3">
      <c r="A177">
        <v>174</v>
      </c>
      <c r="B177">
        <v>0</v>
      </c>
      <c r="C177">
        <v>174</v>
      </c>
      <c r="D177" t="s">
        <v>445</v>
      </c>
      <c r="E177" t="s">
        <v>122</v>
      </c>
      <c r="F177" t="s">
        <v>58</v>
      </c>
      <c r="G177" t="s">
        <v>59</v>
      </c>
      <c r="H177" t="s">
        <v>59</v>
      </c>
      <c r="I177">
        <f t="shared" si="4"/>
        <v>1.78036520001478</v>
      </c>
      <c r="J177" t="s">
        <v>535</v>
      </c>
      <c r="K177" t="s">
        <v>61</v>
      </c>
      <c r="L177">
        <v>174</v>
      </c>
      <c r="M177">
        <v>0</v>
      </c>
      <c r="N177">
        <v>174</v>
      </c>
      <c r="O177">
        <v>0</v>
      </c>
      <c r="P177">
        <v>350.12439450004598</v>
      </c>
      <c r="Z177">
        <v>10</v>
      </c>
      <c r="AA177">
        <v>350.11163920001098</v>
      </c>
      <c r="AB177">
        <v>350.12439450004598</v>
      </c>
      <c r="AC177">
        <v>350.12439450004598</v>
      </c>
      <c r="AD177">
        <v>3.6618400015868198E-2</v>
      </c>
      <c r="AE177">
        <v>351.89219200005698</v>
      </c>
      <c r="AF177" t="s">
        <v>445</v>
      </c>
      <c r="AG177" t="s">
        <v>122</v>
      </c>
      <c r="AH177" t="s">
        <v>58</v>
      </c>
      <c r="AI177" t="s">
        <v>59</v>
      </c>
      <c r="AJ177" t="s">
        <v>59</v>
      </c>
      <c r="AK177" t="s">
        <v>535</v>
      </c>
      <c r="AL177" t="s">
        <v>61</v>
      </c>
      <c r="AQ177" t="s">
        <v>51</v>
      </c>
      <c r="AR177">
        <v>1</v>
      </c>
      <c r="AS177" t="s">
        <v>52</v>
      </c>
      <c r="AT177" t="s">
        <v>53</v>
      </c>
      <c r="AV177" t="s">
        <v>54</v>
      </c>
      <c r="AW177">
        <v>59.798777114328601</v>
      </c>
      <c r="AX177" t="s">
        <v>55</v>
      </c>
    </row>
    <row r="178" spans="1:50" x14ac:dyDescent="0.3">
      <c r="A178">
        <v>175</v>
      </c>
      <c r="B178">
        <v>0</v>
      </c>
      <c r="C178">
        <v>175</v>
      </c>
      <c r="D178" t="s">
        <v>178</v>
      </c>
      <c r="E178" t="s">
        <v>142</v>
      </c>
      <c r="F178" t="s">
        <v>58</v>
      </c>
      <c r="G178" t="s">
        <v>59</v>
      </c>
      <c r="H178" t="s">
        <v>59</v>
      </c>
      <c r="I178">
        <f t="shared" si="4"/>
        <v>1.7267638000193899</v>
      </c>
      <c r="J178" t="s">
        <v>536</v>
      </c>
      <c r="K178" t="s">
        <v>61</v>
      </c>
      <c r="L178">
        <v>175</v>
      </c>
      <c r="M178">
        <v>0</v>
      </c>
      <c r="N178">
        <v>175</v>
      </c>
      <c r="O178">
        <v>0</v>
      </c>
      <c r="P178">
        <v>351.94641199999</v>
      </c>
      <c r="Z178">
        <v>10</v>
      </c>
      <c r="AA178">
        <v>351.93085970007797</v>
      </c>
      <c r="AB178">
        <v>351.94641199999</v>
      </c>
      <c r="AC178">
        <v>351.94641199999</v>
      </c>
      <c r="AD178">
        <v>3.8224100018851397E-2</v>
      </c>
      <c r="AE178">
        <v>353.65770250000003</v>
      </c>
      <c r="AF178" t="s">
        <v>178</v>
      </c>
      <c r="AG178" t="s">
        <v>142</v>
      </c>
      <c r="AH178" t="s">
        <v>58</v>
      </c>
      <c r="AI178" t="s">
        <v>59</v>
      </c>
      <c r="AJ178" t="s">
        <v>59</v>
      </c>
      <c r="AK178" t="s">
        <v>536</v>
      </c>
      <c r="AL178" t="s">
        <v>61</v>
      </c>
      <c r="AQ178" t="s">
        <v>51</v>
      </c>
      <c r="AR178">
        <v>1</v>
      </c>
      <c r="AS178" t="s">
        <v>52</v>
      </c>
      <c r="AT178" t="s">
        <v>53</v>
      </c>
      <c r="AV178" t="s">
        <v>54</v>
      </c>
      <c r="AW178">
        <v>59.798777114328601</v>
      </c>
      <c r="AX178" t="s">
        <v>55</v>
      </c>
    </row>
    <row r="179" spans="1:50" x14ac:dyDescent="0.3">
      <c r="A179">
        <v>176</v>
      </c>
      <c r="B179">
        <v>0</v>
      </c>
      <c r="C179">
        <v>176</v>
      </c>
      <c r="D179" t="s">
        <v>537</v>
      </c>
      <c r="E179" t="s">
        <v>538</v>
      </c>
      <c r="F179" t="s">
        <v>58</v>
      </c>
      <c r="G179" t="s">
        <v>59</v>
      </c>
      <c r="H179" t="s">
        <v>59</v>
      </c>
      <c r="I179">
        <f t="shared" si="4"/>
        <v>1.60470480006188</v>
      </c>
      <c r="J179" t="s">
        <v>539</v>
      </c>
      <c r="K179" t="s">
        <v>61</v>
      </c>
      <c r="L179">
        <v>176</v>
      </c>
      <c r="M179">
        <v>0</v>
      </c>
      <c r="N179">
        <v>176</v>
      </c>
      <c r="O179">
        <v>0</v>
      </c>
      <c r="P179">
        <v>353.67835629999098</v>
      </c>
      <c r="Z179">
        <v>5</v>
      </c>
      <c r="AA179">
        <v>353.66967410000501</v>
      </c>
      <c r="AB179">
        <v>353.67835629999098</v>
      </c>
      <c r="AC179">
        <v>353.67835629999098</v>
      </c>
      <c r="AD179">
        <v>1.18105000583454E-2</v>
      </c>
      <c r="AE179">
        <v>355.27450820000303</v>
      </c>
      <c r="AF179" t="s">
        <v>537</v>
      </c>
      <c r="AG179" t="s">
        <v>538</v>
      </c>
      <c r="AH179" t="s">
        <v>58</v>
      </c>
      <c r="AI179" t="s">
        <v>59</v>
      </c>
      <c r="AJ179" t="s">
        <v>59</v>
      </c>
      <c r="AK179" t="s">
        <v>539</v>
      </c>
      <c r="AL179" t="s">
        <v>61</v>
      </c>
      <c r="AQ179" t="s">
        <v>51</v>
      </c>
      <c r="AR179">
        <v>1</v>
      </c>
      <c r="AS179" t="s">
        <v>52</v>
      </c>
      <c r="AT179" t="s">
        <v>53</v>
      </c>
      <c r="AV179" t="s">
        <v>54</v>
      </c>
      <c r="AW179">
        <v>59.798777114328601</v>
      </c>
      <c r="AX179" t="s">
        <v>55</v>
      </c>
    </row>
    <row r="180" spans="1:50" x14ac:dyDescent="0.3">
      <c r="A180">
        <v>177</v>
      </c>
      <c r="B180">
        <v>0</v>
      </c>
      <c r="C180">
        <v>177</v>
      </c>
      <c r="D180" t="s">
        <v>540</v>
      </c>
      <c r="E180" t="s">
        <v>541</v>
      </c>
      <c r="F180" t="s">
        <v>58</v>
      </c>
      <c r="G180" t="s">
        <v>59</v>
      </c>
      <c r="H180" t="s">
        <v>59</v>
      </c>
      <c r="I180">
        <f t="shared" si="4"/>
        <v>2.0963101999368501</v>
      </c>
      <c r="J180" t="s">
        <v>542</v>
      </c>
      <c r="K180" t="s">
        <v>61</v>
      </c>
      <c r="L180">
        <v>177</v>
      </c>
      <c r="M180">
        <v>0</v>
      </c>
      <c r="N180">
        <v>177</v>
      </c>
      <c r="O180">
        <v>0</v>
      </c>
      <c r="P180">
        <v>355.30582690006099</v>
      </c>
      <c r="Z180">
        <v>5</v>
      </c>
      <c r="AA180">
        <v>355.29360289999698</v>
      </c>
      <c r="AB180">
        <v>355.30582690006099</v>
      </c>
      <c r="AC180">
        <v>355.30582690006099</v>
      </c>
      <c r="AD180">
        <v>1.8892499967478198E-2</v>
      </c>
      <c r="AE180">
        <v>357.38996860000702</v>
      </c>
      <c r="AF180" t="s">
        <v>540</v>
      </c>
      <c r="AG180" t="s">
        <v>541</v>
      </c>
      <c r="AH180" t="s">
        <v>58</v>
      </c>
      <c r="AI180" t="s">
        <v>59</v>
      </c>
      <c r="AJ180" t="s">
        <v>59</v>
      </c>
      <c r="AK180" t="s">
        <v>542</v>
      </c>
      <c r="AL180" t="s">
        <v>61</v>
      </c>
      <c r="AQ180" t="s">
        <v>51</v>
      </c>
      <c r="AR180">
        <v>1</v>
      </c>
      <c r="AS180" t="s">
        <v>52</v>
      </c>
      <c r="AT180" t="s">
        <v>53</v>
      </c>
      <c r="AV180" t="s">
        <v>54</v>
      </c>
      <c r="AW180">
        <v>59.798777114328601</v>
      </c>
      <c r="AX180" t="s">
        <v>55</v>
      </c>
    </row>
    <row r="181" spans="1:50" x14ac:dyDescent="0.3">
      <c r="A181">
        <v>178</v>
      </c>
      <c r="B181">
        <v>0</v>
      </c>
      <c r="C181">
        <v>178</v>
      </c>
      <c r="D181" t="s">
        <v>456</v>
      </c>
      <c r="E181" t="s">
        <v>543</v>
      </c>
      <c r="F181" t="s">
        <v>58</v>
      </c>
      <c r="G181" t="s">
        <v>59</v>
      </c>
      <c r="H181" t="s">
        <v>59</v>
      </c>
      <c r="I181">
        <f t="shared" si="4"/>
        <v>1.5572509999619699</v>
      </c>
      <c r="J181" t="s">
        <v>544</v>
      </c>
      <c r="K181" t="s">
        <v>61</v>
      </c>
      <c r="L181">
        <v>178</v>
      </c>
      <c r="M181">
        <v>0</v>
      </c>
      <c r="N181">
        <v>178</v>
      </c>
      <c r="O181">
        <v>0</v>
      </c>
      <c r="P181">
        <v>357.434284800081</v>
      </c>
      <c r="Z181">
        <v>10</v>
      </c>
      <c r="AA181">
        <v>357.41702320007602</v>
      </c>
      <c r="AB181">
        <v>357.434284800081</v>
      </c>
      <c r="AC181">
        <v>357.434284800081</v>
      </c>
      <c r="AD181">
        <v>2.69699998898431E-2</v>
      </c>
      <c r="AE181">
        <v>358.97444210003499</v>
      </c>
      <c r="AF181" t="s">
        <v>456</v>
      </c>
      <c r="AG181" t="s">
        <v>543</v>
      </c>
      <c r="AH181" t="s">
        <v>58</v>
      </c>
      <c r="AI181" t="s">
        <v>59</v>
      </c>
      <c r="AJ181" t="s">
        <v>59</v>
      </c>
      <c r="AK181" t="s">
        <v>544</v>
      </c>
      <c r="AL181" t="s">
        <v>61</v>
      </c>
      <c r="AQ181" t="s">
        <v>51</v>
      </c>
      <c r="AR181">
        <v>1</v>
      </c>
      <c r="AS181" t="s">
        <v>52</v>
      </c>
      <c r="AT181" t="s">
        <v>53</v>
      </c>
      <c r="AV181" t="s">
        <v>54</v>
      </c>
      <c r="AW181">
        <v>59.798777114328601</v>
      </c>
      <c r="AX181" t="s">
        <v>55</v>
      </c>
    </row>
    <row r="182" spans="1:50" x14ac:dyDescent="0.3">
      <c r="A182">
        <v>179</v>
      </c>
      <c r="B182">
        <v>0</v>
      </c>
      <c r="C182">
        <v>179</v>
      </c>
      <c r="D182" t="s">
        <v>221</v>
      </c>
      <c r="E182" t="s">
        <v>96</v>
      </c>
      <c r="F182" t="s">
        <v>58</v>
      </c>
      <c r="G182" t="s">
        <v>59</v>
      </c>
      <c r="H182" t="s">
        <v>59</v>
      </c>
      <c r="I182">
        <f t="shared" si="4"/>
        <v>2.46107189997565</v>
      </c>
      <c r="J182" t="s">
        <v>545</v>
      </c>
      <c r="K182" t="s">
        <v>61</v>
      </c>
      <c r="L182">
        <v>179</v>
      </c>
      <c r="M182">
        <v>0</v>
      </c>
      <c r="N182">
        <v>179</v>
      </c>
      <c r="O182">
        <v>0</v>
      </c>
      <c r="P182">
        <v>359.02609769999901</v>
      </c>
      <c r="Z182">
        <v>10</v>
      </c>
      <c r="AA182">
        <v>359.01281980006002</v>
      </c>
      <c r="AB182">
        <v>359.02609769999901</v>
      </c>
      <c r="AC182">
        <v>359.02609769999901</v>
      </c>
      <c r="AD182">
        <v>3.79282999783754E-2</v>
      </c>
      <c r="AE182">
        <v>361.47401660005499</v>
      </c>
      <c r="AF182" t="s">
        <v>221</v>
      </c>
      <c r="AG182" t="s">
        <v>96</v>
      </c>
      <c r="AH182" t="s">
        <v>58</v>
      </c>
      <c r="AI182" t="s">
        <v>59</v>
      </c>
      <c r="AJ182" t="s">
        <v>59</v>
      </c>
      <c r="AK182" t="s">
        <v>545</v>
      </c>
      <c r="AL182" t="s">
        <v>61</v>
      </c>
      <c r="AQ182" t="s">
        <v>51</v>
      </c>
      <c r="AR182">
        <v>1</v>
      </c>
      <c r="AS182" t="s">
        <v>52</v>
      </c>
      <c r="AT182" t="s">
        <v>53</v>
      </c>
      <c r="AV182" t="s">
        <v>54</v>
      </c>
      <c r="AW182">
        <v>59.798777114328601</v>
      </c>
      <c r="AX182" t="s">
        <v>55</v>
      </c>
    </row>
    <row r="183" spans="1:50" x14ac:dyDescent="0.3">
      <c r="A183">
        <v>180</v>
      </c>
      <c r="B183">
        <v>0</v>
      </c>
      <c r="C183">
        <v>180</v>
      </c>
      <c r="D183" t="s">
        <v>546</v>
      </c>
      <c r="E183" t="s">
        <v>547</v>
      </c>
      <c r="F183" t="s">
        <v>58</v>
      </c>
      <c r="G183" t="s">
        <v>59</v>
      </c>
      <c r="H183" t="s">
        <v>59</v>
      </c>
      <c r="I183">
        <f t="shared" si="4"/>
        <v>1.55724650004412</v>
      </c>
      <c r="J183" t="s">
        <v>548</v>
      </c>
      <c r="K183" t="s">
        <v>61</v>
      </c>
      <c r="L183">
        <v>180</v>
      </c>
      <c r="M183">
        <v>0</v>
      </c>
      <c r="N183">
        <v>180</v>
      </c>
      <c r="O183">
        <v>0</v>
      </c>
      <c r="P183">
        <v>361.51173390005698</v>
      </c>
      <c r="Z183">
        <v>5</v>
      </c>
      <c r="AA183">
        <v>361.50069280003601</v>
      </c>
      <c r="AB183">
        <v>361.51173390005698</v>
      </c>
      <c r="AC183">
        <v>361.51173390005698</v>
      </c>
      <c r="AD183">
        <v>2.6414199965074599E-2</v>
      </c>
      <c r="AE183">
        <v>363.05806449998602</v>
      </c>
      <c r="AF183" t="s">
        <v>546</v>
      </c>
      <c r="AG183" t="s">
        <v>547</v>
      </c>
      <c r="AH183" t="s">
        <v>58</v>
      </c>
      <c r="AI183" t="s">
        <v>59</v>
      </c>
      <c r="AJ183" t="s">
        <v>59</v>
      </c>
      <c r="AK183" t="s">
        <v>548</v>
      </c>
      <c r="AL183" t="s">
        <v>61</v>
      </c>
      <c r="AQ183" t="s">
        <v>51</v>
      </c>
      <c r="AR183">
        <v>1</v>
      </c>
      <c r="AS183" t="s">
        <v>52</v>
      </c>
      <c r="AT183" t="s">
        <v>53</v>
      </c>
      <c r="AV183" t="s">
        <v>54</v>
      </c>
      <c r="AW183">
        <v>59.798777114328601</v>
      </c>
      <c r="AX183" t="s">
        <v>55</v>
      </c>
    </row>
    <row r="184" spans="1:50" x14ac:dyDescent="0.3">
      <c r="A184">
        <v>181</v>
      </c>
      <c r="B184">
        <v>0</v>
      </c>
      <c r="C184">
        <v>181</v>
      </c>
      <c r="D184" t="s">
        <v>431</v>
      </c>
      <c r="E184" t="s">
        <v>549</v>
      </c>
      <c r="F184" t="s">
        <v>58</v>
      </c>
      <c r="G184" t="s">
        <v>59</v>
      </c>
      <c r="H184" t="s">
        <v>59</v>
      </c>
      <c r="I184">
        <f t="shared" si="4"/>
        <v>1.53588250000029</v>
      </c>
      <c r="J184" t="s">
        <v>550</v>
      </c>
      <c r="K184" t="s">
        <v>61</v>
      </c>
      <c r="L184">
        <v>181</v>
      </c>
      <c r="M184">
        <v>0</v>
      </c>
      <c r="N184">
        <v>181</v>
      </c>
      <c r="O184">
        <v>0</v>
      </c>
      <c r="P184">
        <v>363.123837799998</v>
      </c>
      <c r="Z184">
        <v>10</v>
      </c>
      <c r="AA184">
        <v>363.10412300005498</v>
      </c>
      <c r="AB184">
        <v>363.123837799998</v>
      </c>
      <c r="AC184">
        <v>363.123837799998</v>
      </c>
      <c r="AD184">
        <v>4.5845000073313699E-2</v>
      </c>
      <c r="AE184">
        <v>364.64012050000002</v>
      </c>
      <c r="AF184" t="s">
        <v>431</v>
      </c>
      <c r="AG184" t="s">
        <v>549</v>
      </c>
      <c r="AH184" t="s">
        <v>58</v>
      </c>
      <c r="AI184" t="s">
        <v>59</v>
      </c>
      <c r="AJ184" t="s">
        <v>59</v>
      </c>
      <c r="AK184" t="s">
        <v>550</v>
      </c>
      <c r="AL184" t="s">
        <v>61</v>
      </c>
      <c r="AQ184" t="s">
        <v>51</v>
      </c>
      <c r="AR184">
        <v>1</v>
      </c>
      <c r="AS184" t="s">
        <v>52</v>
      </c>
      <c r="AT184" t="s">
        <v>53</v>
      </c>
      <c r="AV184" t="s">
        <v>54</v>
      </c>
      <c r="AW184">
        <v>59.798777114328601</v>
      </c>
      <c r="AX184" t="s">
        <v>55</v>
      </c>
    </row>
    <row r="185" spans="1:50" x14ac:dyDescent="0.3">
      <c r="A185">
        <v>182</v>
      </c>
      <c r="B185">
        <v>0</v>
      </c>
      <c r="C185">
        <v>182</v>
      </c>
      <c r="D185" t="s">
        <v>551</v>
      </c>
      <c r="E185" t="s">
        <v>552</v>
      </c>
      <c r="F185" t="s">
        <v>58</v>
      </c>
      <c r="G185" t="s">
        <v>59</v>
      </c>
      <c r="H185" t="s">
        <v>59</v>
      </c>
      <c r="I185">
        <f t="shared" si="4"/>
        <v>1.9768259999109401</v>
      </c>
      <c r="J185" t="s">
        <v>553</v>
      </c>
      <c r="K185" t="s">
        <v>61</v>
      </c>
      <c r="L185">
        <v>182</v>
      </c>
      <c r="M185">
        <v>0</v>
      </c>
      <c r="N185">
        <v>182</v>
      </c>
      <c r="O185">
        <v>0</v>
      </c>
      <c r="P185">
        <v>364.69676610000897</v>
      </c>
      <c r="Z185">
        <v>10</v>
      </c>
      <c r="AA185">
        <v>364.67958650004499</v>
      </c>
      <c r="AB185">
        <v>364.69676610000897</v>
      </c>
      <c r="AC185">
        <v>364.69676610000897</v>
      </c>
      <c r="AD185">
        <v>3.9161800057627198E-2</v>
      </c>
      <c r="AE185">
        <v>366.65657360001899</v>
      </c>
      <c r="AF185" t="s">
        <v>551</v>
      </c>
      <c r="AG185" t="s">
        <v>552</v>
      </c>
      <c r="AH185" t="s">
        <v>58</v>
      </c>
      <c r="AI185" t="s">
        <v>59</v>
      </c>
      <c r="AJ185" t="s">
        <v>59</v>
      </c>
      <c r="AK185" t="s">
        <v>553</v>
      </c>
      <c r="AL185" t="s">
        <v>61</v>
      </c>
      <c r="AQ185" t="s">
        <v>51</v>
      </c>
      <c r="AR185">
        <v>1</v>
      </c>
      <c r="AS185" t="s">
        <v>52</v>
      </c>
      <c r="AT185" t="s">
        <v>53</v>
      </c>
      <c r="AV185" t="s">
        <v>54</v>
      </c>
      <c r="AW185">
        <v>59.798777114328601</v>
      </c>
      <c r="AX185" t="s">
        <v>55</v>
      </c>
    </row>
    <row r="186" spans="1:50" x14ac:dyDescent="0.3">
      <c r="A186">
        <v>183</v>
      </c>
      <c r="B186">
        <v>0</v>
      </c>
      <c r="C186">
        <v>183</v>
      </c>
      <c r="D186" t="s">
        <v>129</v>
      </c>
      <c r="E186" t="s">
        <v>554</v>
      </c>
      <c r="F186" t="s">
        <v>58</v>
      </c>
      <c r="G186" t="s">
        <v>59</v>
      </c>
      <c r="H186" t="s">
        <v>59</v>
      </c>
      <c r="I186">
        <f t="shared" si="4"/>
        <v>2.4339365999912799</v>
      </c>
      <c r="J186" t="s">
        <v>555</v>
      </c>
      <c r="K186" t="s">
        <v>61</v>
      </c>
      <c r="L186">
        <v>183</v>
      </c>
      <c r="M186">
        <v>0</v>
      </c>
      <c r="N186">
        <v>183</v>
      </c>
      <c r="O186">
        <v>0</v>
      </c>
      <c r="P186">
        <v>366.70132039999498</v>
      </c>
      <c r="Z186">
        <v>10</v>
      </c>
      <c r="AA186">
        <v>366.69022680004099</v>
      </c>
      <c r="AB186">
        <v>366.70132039999498</v>
      </c>
      <c r="AC186">
        <v>366.70132039999498</v>
      </c>
      <c r="AD186">
        <v>3.33748999983072E-2</v>
      </c>
      <c r="AE186">
        <v>369.12435010005697</v>
      </c>
      <c r="AF186" t="s">
        <v>129</v>
      </c>
      <c r="AG186" t="s">
        <v>554</v>
      </c>
      <c r="AH186" t="s">
        <v>58</v>
      </c>
      <c r="AI186" t="s">
        <v>59</v>
      </c>
      <c r="AJ186" t="s">
        <v>59</v>
      </c>
      <c r="AK186" t="s">
        <v>555</v>
      </c>
      <c r="AL186" t="s">
        <v>61</v>
      </c>
      <c r="AQ186" t="s">
        <v>51</v>
      </c>
      <c r="AR186">
        <v>1</v>
      </c>
      <c r="AS186" t="s">
        <v>52</v>
      </c>
      <c r="AT186" t="s">
        <v>53</v>
      </c>
      <c r="AV186" t="s">
        <v>54</v>
      </c>
      <c r="AW186">
        <v>59.798777114328601</v>
      </c>
      <c r="AX186" t="s">
        <v>55</v>
      </c>
    </row>
    <row r="187" spans="1:50" x14ac:dyDescent="0.3">
      <c r="A187">
        <v>184</v>
      </c>
      <c r="B187">
        <v>0</v>
      </c>
      <c r="C187">
        <v>184</v>
      </c>
      <c r="D187" t="s">
        <v>556</v>
      </c>
      <c r="E187" t="s">
        <v>557</v>
      </c>
      <c r="F187" t="s">
        <v>58</v>
      </c>
      <c r="G187" t="s">
        <v>59</v>
      </c>
      <c r="H187" t="s">
        <v>59</v>
      </c>
      <c r="I187">
        <f t="shared" si="4"/>
        <v>1.92765590001363</v>
      </c>
      <c r="J187" t="s">
        <v>558</v>
      </c>
      <c r="K187" t="s">
        <v>61</v>
      </c>
      <c r="L187">
        <v>184</v>
      </c>
      <c r="M187">
        <v>0</v>
      </c>
      <c r="N187">
        <v>184</v>
      </c>
      <c r="O187">
        <v>0</v>
      </c>
      <c r="P187">
        <v>369.17845680005797</v>
      </c>
      <c r="Z187">
        <v>10</v>
      </c>
      <c r="AA187">
        <v>369.16238750005101</v>
      </c>
      <c r="AB187">
        <v>369.17845680005797</v>
      </c>
      <c r="AC187">
        <v>369.17845680005797</v>
      </c>
      <c r="AD187">
        <v>3.7438299972563899E-2</v>
      </c>
      <c r="AE187">
        <v>371.09014370001302</v>
      </c>
      <c r="AF187" t="s">
        <v>556</v>
      </c>
      <c r="AG187" t="s">
        <v>557</v>
      </c>
      <c r="AH187" t="s">
        <v>58</v>
      </c>
      <c r="AI187" t="s">
        <v>59</v>
      </c>
      <c r="AJ187" t="s">
        <v>59</v>
      </c>
      <c r="AK187" t="s">
        <v>558</v>
      </c>
      <c r="AL187" t="s">
        <v>61</v>
      </c>
      <c r="AQ187" t="s">
        <v>51</v>
      </c>
      <c r="AR187">
        <v>1</v>
      </c>
      <c r="AS187" t="s">
        <v>52</v>
      </c>
      <c r="AT187" t="s">
        <v>53</v>
      </c>
      <c r="AV187" t="s">
        <v>54</v>
      </c>
      <c r="AW187">
        <v>59.798777114328601</v>
      </c>
      <c r="AX187" t="s">
        <v>55</v>
      </c>
    </row>
    <row r="188" spans="1:50" x14ac:dyDescent="0.3">
      <c r="A188">
        <v>185</v>
      </c>
      <c r="B188">
        <v>0</v>
      </c>
      <c r="C188">
        <v>185</v>
      </c>
      <c r="D188" t="s">
        <v>295</v>
      </c>
      <c r="E188" t="s">
        <v>559</v>
      </c>
      <c r="F188" t="s">
        <v>58</v>
      </c>
      <c r="G188" t="s">
        <v>59</v>
      </c>
      <c r="H188" t="s">
        <v>59</v>
      </c>
      <c r="I188">
        <f t="shared" si="4"/>
        <v>2.0507636000402201</v>
      </c>
      <c r="J188" t="s">
        <v>560</v>
      </c>
      <c r="K188" t="s">
        <v>61</v>
      </c>
      <c r="L188">
        <v>185</v>
      </c>
      <c r="M188">
        <v>0</v>
      </c>
      <c r="N188">
        <v>185</v>
      </c>
      <c r="O188">
        <v>0</v>
      </c>
      <c r="P188">
        <v>371.13996870000801</v>
      </c>
      <c r="Z188">
        <v>10</v>
      </c>
      <c r="AA188">
        <v>371.12275750003698</v>
      </c>
      <c r="AB188">
        <v>371.13996870000801</v>
      </c>
      <c r="AC188">
        <v>371.13996870000801</v>
      </c>
      <c r="AD188">
        <v>3.2376499962992897E-2</v>
      </c>
      <c r="AE188">
        <v>373.17365910007999</v>
      </c>
      <c r="AF188" t="s">
        <v>295</v>
      </c>
      <c r="AG188" t="s">
        <v>559</v>
      </c>
      <c r="AH188" t="s">
        <v>58</v>
      </c>
      <c r="AI188" t="s">
        <v>59</v>
      </c>
      <c r="AJ188" t="s">
        <v>59</v>
      </c>
      <c r="AK188" t="s">
        <v>560</v>
      </c>
      <c r="AL188" t="s">
        <v>61</v>
      </c>
      <c r="AQ188" t="s">
        <v>51</v>
      </c>
      <c r="AR188">
        <v>1</v>
      </c>
      <c r="AS188" t="s">
        <v>52</v>
      </c>
      <c r="AT188" t="s">
        <v>53</v>
      </c>
      <c r="AV188" t="s">
        <v>54</v>
      </c>
      <c r="AW188">
        <v>59.798777114328601</v>
      </c>
      <c r="AX188" t="s">
        <v>55</v>
      </c>
    </row>
    <row r="189" spans="1:50" x14ac:dyDescent="0.3">
      <c r="A189">
        <v>186</v>
      </c>
      <c r="B189">
        <v>0</v>
      </c>
      <c r="C189">
        <v>186</v>
      </c>
      <c r="D189" t="s">
        <v>180</v>
      </c>
      <c r="E189" t="s">
        <v>561</v>
      </c>
      <c r="F189" t="s">
        <v>58</v>
      </c>
      <c r="G189" t="s">
        <v>59</v>
      </c>
      <c r="H189" t="s">
        <v>59</v>
      </c>
      <c r="I189">
        <f t="shared" si="4"/>
        <v>1.6704236000077799</v>
      </c>
      <c r="J189" t="s">
        <v>562</v>
      </c>
      <c r="K189" t="s">
        <v>61</v>
      </c>
      <c r="L189">
        <v>186</v>
      </c>
      <c r="M189">
        <v>0</v>
      </c>
      <c r="N189">
        <v>186</v>
      </c>
      <c r="O189">
        <v>0</v>
      </c>
      <c r="P189">
        <v>373.21672310004902</v>
      </c>
      <c r="Z189">
        <v>5</v>
      </c>
      <c r="AA189">
        <v>373.20300219999598</v>
      </c>
      <c r="AB189">
        <v>373.21672310004902</v>
      </c>
      <c r="AC189">
        <v>373.21672310004902</v>
      </c>
      <c r="AD189">
        <v>2.91166000533849E-2</v>
      </c>
      <c r="AE189">
        <v>374.87349210004299</v>
      </c>
      <c r="AF189" t="s">
        <v>180</v>
      </c>
      <c r="AG189" t="s">
        <v>561</v>
      </c>
      <c r="AH189" t="s">
        <v>58</v>
      </c>
      <c r="AI189" t="s">
        <v>59</v>
      </c>
      <c r="AJ189" t="s">
        <v>59</v>
      </c>
      <c r="AK189" t="s">
        <v>562</v>
      </c>
      <c r="AL189" t="s">
        <v>61</v>
      </c>
      <c r="AQ189" t="s">
        <v>51</v>
      </c>
      <c r="AR189">
        <v>1</v>
      </c>
      <c r="AS189" t="s">
        <v>52</v>
      </c>
      <c r="AT189" t="s">
        <v>53</v>
      </c>
      <c r="AV189" t="s">
        <v>54</v>
      </c>
      <c r="AW189">
        <v>59.798777114328601</v>
      </c>
      <c r="AX189" t="s">
        <v>55</v>
      </c>
    </row>
    <row r="190" spans="1:50" x14ac:dyDescent="0.3">
      <c r="A190">
        <v>187</v>
      </c>
      <c r="B190">
        <v>0</v>
      </c>
      <c r="C190">
        <v>187</v>
      </c>
      <c r="D190" t="s">
        <v>166</v>
      </c>
      <c r="E190" t="s">
        <v>499</v>
      </c>
      <c r="F190" t="s">
        <v>58</v>
      </c>
      <c r="G190" t="s">
        <v>59</v>
      </c>
      <c r="H190" t="s">
        <v>59</v>
      </c>
      <c r="I190">
        <f t="shared" si="4"/>
        <v>1.22939330001827</v>
      </c>
      <c r="J190" t="s">
        <v>563</v>
      </c>
      <c r="K190" t="s">
        <v>61</v>
      </c>
      <c r="L190">
        <v>187</v>
      </c>
      <c r="M190">
        <v>0</v>
      </c>
      <c r="N190">
        <v>187</v>
      </c>
      <c r="O190">
        <v>0</v>
      </c>
      <c r="P190">
        <v>374.90303050004798</v>
      </c>
      <c r="Z190">
        <v>5</v>
      </c>
      <c r="AA190">
        <v>374.89299810002501</v>
      </c>
      <c r="AB190">
        <v>374.90303050004798</v>
      </c>
      <c r="AC190">
        <v>374.90303050004798</v>
      </c>
      <c r="AD190">
        <v>1.9324699998833201E-2</v>
      </c>
      <c r="AE190">
        <v>376.12253769999302</v>
      </c>
      <c r="AF190" t="s">
        <v>166</v>
      </c>
      <c r="AG190" t="s">
        <v>499</v>
      </c>
      <c r="AH190" t="s">
        <v>58</v>
      </c>
      <c r="AI190" t="s">
        <v>59</v>
      </c>
      <c r="AJ190" t="s">
        <v>59</v>
      </c>
      <c r="AK190" t="s">
        <v>563</v>
      </c>
      <c r="AL190" t="s">
        <v>61</v>
      </c>
      <c r="AQ190" t="s">
        <v>51</v>
      </c>
      <c r="AR190">
        <v>1</v>
      </c>
      <c r="AS190" t="s">
        <v>52</v>
      </c>
      <c r="AT190" t="s">
        <v>53</v>
      </c>
      <c r="AV190" t="s">
        <v>54</v>
      </c>
      <c r="AW190">
        <v>59.798777114328601</v>
      </c>
      <c r="AX190" t="s">
        <v>55</v>
      </c>
    </row>
    <row r="191" spans="1:50" x14ac:dyDescent="0.3">
      <c r="A191">
        <v>188</v>
      </c>
      <c r="B191">
        <v>0</v>
      </c>
      <c r="C191">
        <v>188</v>
      </c>
      <c r="D191" t="s">
        <v>80</v>
      </c>
      <c r="E191" t="s">
        <v>564</v>
      </c>
      <c r="F191" t="s">
        <v>58</v>
      </c>
      <c r="G191" t="s">
        <v>59</v>
      </c>
      <c r="H191" t="s">
        <v>59</v>
      </c>
      <c r="I191">
        <f t="shared" si="4"/>
        <v>1.5216320999898001</v>
      </c>
      <c r="J191" t="s">
        <v>565</v>
      </c>
      <c r="K191" t="s">
        <v>61</v>
      </c>
      <c r="L191">
        <v>188</v>
      </c>
      <c r="M191">
        <v>0</v>
      </c>
      <c r="N191">
        <v>188</v>
      </c>
      <c r="O191">
        <v>0</v>
      </c>
      <c r="P191">
        <v>376.16061480005698</v>
      </c>
      <c r="Z191">
        <v>5</v>
      </c>
      <c r="AA191">
        <v>376.15061810007302</v>
      </c>
      <c r="AB191">
        <v>376.16061480005698</v>
      </c>
      <c r="AC191">
        <v>376.16061480005698</v>
      </c>
      <c r="AD191">
        <v>2.77549000456929E-2</v>
      </c>
      <c r="AE191">
        <v>377.67242850002299</v>
      </c>
      <c r="AF191" t="s">
        <v>80</v>
      </c>
      <c r="AG191" t="s">
        <v>564</v>
      </c>
      <c r="AH191" t="s">
        <v>58</v>
      </c>
      <c r="AI191" t="s">
        <v>59</v>
      </c>
      <c r="AJ191" t="s">
        <v>59</v>
      </c>
      <c r="AK191" t="s">
        <v>565</v>
      </c>
      <c r="AL191" t="s">
        <v>61</v>
      </c>
      <c r="AQ191" t="s">
        <v>51</v>
      </c>
      <c r="AR191">
        <v>1</v>
      </c>
      <c r="AS191" t="s">
        <v>52</v>
      </c>
      <c r="AT191" t="s">
        <v>53</v>
      </c>
      <c r="AV191" t="s">
        <v>54</v>
      </c>
      <c r="AW191">
        <v>59.798777114328601</v>
      </c>
      <c r="AX191" t="s">
        <v>55</v>
      </c>
    </row>
    <row r="192" spans="1:50" x14ac:dyDescent="0.3">
      <c r="A192">
        <v>189</v>
      </c>
      <c r="B192">
        <v>0</v>
      </c>
      <c r="C192">
        <v>189</v>
      </c>
      <c r="D192" t="s">
        <v>566</v>
      </c>
      <c r="E192" t="s">
        <v>567</v>
      </c>
      <c r="F192" t="s">
        <v>58</v>
      </c>
      <c r="G192" t="s">
        <v>59</v>
      </c>
      <c r="H192" t="s">
        <v>59</v>
      </c>
      <c r="I192">
        <f t="shared" si="4"/>
        <v>1.98800760006997</v>
      </c>
      <c r="J192" t="s">
        <v>568</v>
      </c>
      <c r="K192" t="s">
        <v>61</v>
      </c>
      <c r="L192">
        <v>189</v>
      </c>
      <c r="M192">
        <v>0</v>
      </c>
      <c r="N192">
        <v>189</v>
      </c>
      <c r="O192">
        <v>0</v>
      </c>
      <c r="P192">
        <v>377.733815500047</v>
      </c>
      <c r="Z192">
        <v>10</v>
      </c>
      <c r="AA192">
        <v>377.71797350002402</v>
      </c>
      <c r="AB192">
        <v>377.733815500047</v>
      </c>
      <c r="AC192">
        <v>377.733815500047</v>
      </c>
      <c r="AD192">
        <v>4.5207599992863799E-2</v>
      </c>
      <c r="AE192">
        <v>379.70605260005601</v>
      </c>
      <c r="AF192" t="s">
        <v>566</v>
      </c>
      <c r="AG192" t="s">
        <v>567</v>
      </c>
      <c r="AH192" t="s">
        <v>58</v>
      </c>
      <c r="AI192" t="s">
        <v>59</v>
      </c>
      <c r="AJ192" t="s">
        <v>59</v>
      </c>
      <c r="AK192" t="s">
        <v>568</v>
      </c>
      <c r="AL192" t="s">
        <v>61</v>
      </c>
      <c r="AQ192" t="s">
        <v>51</v>
      </c>
      <c r="AR192">
        <v>1</v>
      </c>
      <c r="AS192" t="s">
        <v>52</v>
      </c>
      <c r="AT192" t="s">
        <v>53</v>
      </c>
      <c r="AV192" t="s">
        <v>54</v>
      </c>
      <c r="AW192">
        <v>59.798777114328601</v>
      </c>
      <c r="AX192" t="s">
        <v>55</v>
      </c>
    </row>
    <row r="193" spans="1:50" x14ac:dyDescent="0.3">
      <c r="A193">
        <v>190</v>
      </c>
      <c r="B193">
        <v>0</v>
      </c>
      <c r="C193">
        <v>190</v>
      </c>
      <c r="D193" t="s">
        <v>569</v>
      </c>
      <c r="E193" t="s">
        <v>570</v>
      </c>
      <c r="F193" t="s">
        <v>58</v>
      </c>
      <c r="G193" t="s">
        <v>59</v>
      </c>
      <c r="H193" t="s">
        <v>59</v>
      </c>
      <c r="I193">
        <f t="shared" si="4"/>
        <v>1.70798950002063</v>
      </c>
      <c r="J193" t="s">
        <v>571</v>
      </c>
      <c r="K193" t="s">
        <v>61</v>
      </c>
      <c r="L193">
        <v>190</v>
      </c>
      <c r="M193">
        <v>0</v>
      </c>
      <c r="N193">
        <v>190</v>
      </c>
      <c r="O193">
        <v>0</v>
      </c>
      <c r="P193">
        <v>379.74486720003102</v>
      </c>
      <c r="Z193">
        <v>10</v>
      </c>
      <c r="AA193">
        <v>379.73196210001998</v>
      </c>
      <c r="AB193">
        <v>379.74486720003102</v>
      </c>
      <c r="AC193">
        <v>379.74486720003102</v>
      </c>
      <c r="AD193">
        <v>2.5699699996039198E-2</v>
      </c>
      <c r="AE193">
        <v>381.44002280000097</v>
      </c>
      <c r="AF193" t="s">
        <v>569</v>
      </c>
      <c r="AG193" t="s">
        <v>570</v>
      </c>
      <c r="AH193" t="s">
        <v>58</v>
      </c>
      <c r="AI193" t="s">
        <v>59</v>
      </c>
      <c r="AJ193" t="s">
        <v>59</v>
      </c>
      <c r="AK193" t="s">
        <v>571</v>
      </c>
      <c r="AL193" t="s">
        <v>61</v>
      </c>
      <c r="AQ193" t="s">
        <v>51</v>
      </c>
      <c r="AR193">
        <v>1</v>
      </c>
      <c r="AS193" t="s">
        <v>52</v>
      </c>
      <c r="AT193" t="s">
        <v>53</v>
      </c>
      <c r="AV193" t="s">
        <v>54</v>
      </c>
      <c r="AW193">
        <v>59.798777114328601</v>
      </c>
      <c r="AX193" t="s">
        <v>55</v>
      </c>
    </row>
    <row r="194" spans="1:50" x14ac:dyDescent="0.3">
      <c r="A194">
        <v>191</v>
      </c>
      <c r="B194">
        <v>0</v>
      </c>
      <c r="C194">
        <v>191</v>
      </c>
      <c r="D194" t="s">
        <v>572</v>
      </c>
      <c r="E194" t="s">
        <v>573</v>
      </c>
      <c r="F194" t="s">
        <v>58</v>
      </c>
      <c r="G194" t="s">
        <v>59</v>
      </c>
      <c r="H194" t="s">
        <v>59</v>
      </c>
      <c r="I194">
        <f t="shared" si="4"/>
        <v>1.27055959997233</v>
      </c>
      <c r="J194" t="s">
        <v>574</v>
      </c>
      <c r="K194" t="s">
        <v>61</v>
      </c>
      <c r="L194">
        <v>191</v>
      </c>
      <c r="M194">
        <v>0</v>
      </c>
      <c r="N194">
        <v>191</v>
      </c>
      <c r="O194">
        <v>0</v>
      </c>
      <c r="P194">
        <v>381.50329550006398</v>
      </c>
      <c r="Z194">
        <v>10</v>
      </c>
      <c r="AA194">
        <v>381.48619570001</v>
      </c>
      <c r="AB194">
        <v>381.50329550006398</v>
      </c>
      <c r="AC194">
        <v>381.50329550006398</v>
      </c>
      <c r="AD194">
        <v>4.6065400005318197E-2</v>
      </c>
      <c r="AE194">
        <v>382.75693250005099</v>
      </c>
      <c r="AF194" t="s">
        <v>572</v>
      </c>
      <c r="AG194" t="s">
        <v>573</v>
      </c>
      <c r="AH194" t="s">
        <v>58</v>
      </c>
      <c r="AI194" t="s">
        <v>59</v>
      </c>
      <c r="AJ194" t="s">
        <v>59</v>
      </c>
      <c r="AK194" t="s">
        <v>574</v>
      </c>
      <c r="AL194" t="s">
        <v>61</v>
      </c>
      <c r="AQ194" t="s">
        <v>51</v>
      </c>
      <c r="AR194">
        <v>1</v>
      </c>
      <c r="AS194" t="s">
        <v>52</v>
      </c>
      <c r="AT194" t="s">
        <v>53</v>
      </c>
      <c r="AV194" t="s">
        <v>54</v>
      </c>
      <c r="AW194">
        <v>59.798777114328601</v>
      </c>
      <c r="AX194" t="s">
        <v>55</v>
      </c>
    </row>
    <row r="195" spans="1:50" x14ac:dyDescent="0.3">
      <c r="A195">
        <v>192</v>
      </c>
      <c r="B195">
        <v>0</v>
      </c>
      <c r="C195">
        <v>192</v>
      </c>
      <c r="D195" t="s">
        <v>575</v>
      </c>
      <c r="E195" t="s">
        <v>576</v>
      </c>
      <c r="F195" t="s">
        <v>58</v>
      </c>
      <c r="G195" t="s">
        <v>59</v>
      </c>
      <c r="H195" t="s">
        <v>59</v>
      </c>
      <c r="I195">
        <f t="shared" si="4"/>
        <v>1.87295999994967</v>
      </c>
      <c r="J195" t="s">
        <v>577</v>
      </c>
      <c r="K195" t="s">
        <v>61</v>
      </c>
      <c r="L195">
        <v>192</v>
      </c>
      <c r="M195">
        <v>0</v>
      </c>
      <c r="N195">
        <v>192</v>
      </c>
      <c r="O195">
        <v>0</v>
      </c>
      <c r="P195">
        <v>382.79201590001998</v>
      </c>
      <c r="Z195">
        <v>5</v>
      </c>
      <c r="AA195">
        <v>382.78324210003399</v>
      </c>
      <c r="AB195">
        <v>382.79201590001998</v>
      </c>
      <c r="AC195">
        <v>382.79201590001998</v>
      </c>
      <c r="AD195">
        <v>2.57911999942734E-2</v>
      </c>
      <c r="AE195">
        <v>384.65642690006598</v>
      </c>
      <c r="AF195" t="s">
        <v>575</v>
      </c>
      <c r="AG195" t="s">
        <v>576</v>
      </c>
      <c r="AH195" t="s">
        <v>58</v>
      </c>
      <c r="AI195" t="s">
        <v>59</v>
      </c>
      <c r="AJ195" t="s">
        <v>59</v>
      </c>
      <c r="AK195" t="s">
        <v>577</v>
      </c>
      <c r="AL195" t="s">
        <v>61</v>
      </c>
      <c r="AQ195" t="s">
        <v>51</v>
      </c>
      <c r="AR195">
        <v>1</v>
      </c>
      <c r="AS195" t="s">
        <v>52</v>
      </c>
      <c r="AT195" t="s">
        <v>53</v>
      </c>
      <c r="AV195" t="s">
        <v>54</v>
      </c>
      <c r="AW195">
        <v>59.798777114328601</v>
      </c>
      <c r="AX195" t="s">
        <v>55</v>
      </c>
    </row>
    <row r="196" spans="1:50" x14ac:dyDescent="0.3">
      <c r="A196">
        <v>193</v>
      </c>
      <c r="B196">
        <v>0</v>
      </c>
      <c r="C196">
        <v>193</v>
      </c>
      <c r="D196" t="s">
        <v>552</v>
      </c>
      <c r="E196" t="s">
        <v>578</v>
      </c>
      <c r="F196" t="s">
        <v>58</v>
      </c>
      <c r="G196" t="s">
        <v>59</v>
      </c>
      <c r="H196" t="s">
        <v>59</v>
      </c>
      <c r="J196" t="s">
        <v>579</v>
      </c>
      <c r="K196" t="s">
        <v>404</v>
      </c>
      <c r="L196">
        <v>193</v>
      </c>
      <c r="M196">
        <v>0</v>
      </c>
      <c r="N196">
        <v>193</v>
      </c>
      <c r="O196">
        <v>0</v>
      </c>
      <c r="P196">
        <v>384.71523030009098</v>
      </c>
      <c r="Z196">
        <v>10</v>
      </c>
      <c r="AA196">
        <v>384.70132840005601</v>
      </c>
      <c r="AB196">
        <v>384.71523030009098</v>
      </c>
      <c r="AC196">
        <v>384.71523030009098</v>
      </c>
      <c r="AD196">
        <v>4.4482299941591898E-2</v>
      </c>
      <c r="AE196">
        <v>385.93929370003701</v>
      </c>
      <c r="AF196" t="s">
        <v>552</v>
      </c>
      <c r="AG196" t="s">
        <v>578</v>
      </c>
      <c r="AH196" t="s">
        <v>58</v>
      </c>
      <c r="AI196" t="s">
        <v>59</v>
      </c>
      <c r="AJ196" t="s">
        <v>59</v>
      </c>
      <c r="AK196" t="s">
        <v>579</v>
      </c>
      <c r="AL196" t="s">
        <v>404</v>
      </c>
      <c r="AQ196" t="s">
        <v>51</v>
      </c>
      <c r="AR196">
        <v>1</v>
      </c>
      <c r="AS196" t="s">
        <v>52</v>
      </c>
      <c r="AT196" t="s">
        <v>53</v>
      </c>
      <c r="AV196" t="s">
        <v>54</v>
      </c>
      <c r="AW196">
        <v>59.798777114328601</v>
      </c>
      <c r="AX196" t="s">
        <v>55</v>
      </c>
    </row>
    <row r="197" spans="1:50" x14ac:dyDescent="0.3">
      <c r="A197">
        <v>194</v>
      </c>
      <c r="B197">
        <v>0</v>
      </c>
      <c r="C197">
        <v>194</v>
      </c>
      <c r="D197" t="s">
        <v>580</v>
      </c>
      <c r="E197" t="s">
        <v>581</v>
      </c>
      <c r="F197" t="s">
        <v>58</v>
      </c>
      <c r="G197" t="s">
        <v>59</v>
      </c>
      <c r="H197" t="s">
        <v>59</v>
      </c>
      <c r="I197">
        <f t="shared" ref="I197:I202" si="5">VALUE(SUBSTITUTE(SUBSTITUTE(J197,"[",""),"]",""))</f>
        <v>1.50359830004163</v>
      </c>
      <c r="J197" t="s">
        <v>582</v>
      </c>
      <c r="K197" t="s">
        <v>61</v>
      </c>
      <c r="L197">
        <v>194</v>
      </c>
      <c r="M197">
        <v>0</v>
      </c>
      <c r="N197">
        <v>194</v>
      </c>
      <c r="O197">
        <v>0</v>
      </c>
      <c r="P197">
        <v>385.98208890005401</v>
      </c>
      <c r="Z197">
        <v>5</v>
      </c>
      <c r="AA197">
        <v>385.968951000017</v>
      </c>
      <c r="AB197">
        <v>385.98208890005401</v>
      </c>
      <c r="AC197">
        <v>385.98208890005401</v>
      </c>
      <c r="AD197">
        <v>2.9370500007644199E-2</v>
      </c>
      <c r="AE197">
        <v>387.472659900086</v>
      </c>
      <c r="AF197" t="s">
        <v>580</v>
      </c>
      <c r="AG197" t="s">
        <v>581</v>
      </c>
      <c r="AH197" t="s">
        <v>58</v>
      </c>
      <c r="AI197" t="s">
        <v>59</v>
      </c>
      <c r="AJ197" t="s">
        <v>59</v>
      </c>
      <c r="AK197" t="s">
        <v>582</v>
      </c>
      <c r="AL197" t="s">
        <v>61</v>
      </c>
      <c r="AQ197" t="s">
        <v>51</v>
      </c>
      <c r="AR197">
        <v>1</v>
      </c>
      <c r="AS197" t="s">
        <v>52</v>
      </c>
      <c r="AT197" t="s">
        <v>53</v>
      </c>
      <c r="AV197" t="s">
        <v>54</v>
      </c>
      <c r="AW197">
        <v>59.798777114328601</v>
      </c>
      <c r="AX197" t="s">
        <v>55</v>
      </c>
    </row>
    <row r="198" spans="1:50" x14ac:dyDescent="0.3">
      <c r="A198">
        <v>195</v>
      </c>
      <c r="B198">
        <v>0</v>
      </c>
      <c r="C198">
        <v>195</v>
      </c>
      <c r="D198" t="s">
        <v>430</v>
      </c>
      <c r="E198" t="s">
        <v>583</v>
      </c>
      <c r="F198" t="s">
        <v>58</v>
      </c>
      <c r="G198" t="s">
        <v>59</v>
      </c>
      <c r="H198" t="s">
        <v>59</v>
      </c>
      <c r="I198">
        <f t="shared" si="5"/>
        <v>1.7149443000089299</v>
      </c>
      <c r="J198" t="s">
        <v>584</v>
      </c>
      <c r="K198" t="s">
        <v>61</v>
      </c>
      <c r="L198">
        <v>195</v>
      </c>
      <c r="M198">
        <v>0</v>
      </c>
      <c r="N198">
        <v>195</v>
      </c>
      <c r="O198">
        <v>0</v>
      </c>
      <c r="P198">
        <v>387.50110850005802</v>
      </c>
      <c r="Z198">
        <v>5</v>
      </c>
      <c r="AA198">
        <v>387.49067040008902</v>
      </c>
      <c r="AB198">
        <v>387.50110850005802</v>
      </c>
      <c r="AC198">
        <v>387.50110850005802</v>
      </c>
      <c r="AD198">
        <v>1.77760999649763E-2</v>
      </c>
      <c r="AE198">
        <v>389.20573729998398</v>
      </c>
      <c r="AF198" t="s">
        <v>430</v>
      </c>
      <c r="AG198" t="s">
        <v>583</v>
      </c>
      <c r="AH198" t="s">
        <v>58</v>
      </c>
      <c r="AI198" t="s">
        <v>59</v>
      </c>
      <c r="AJ198" t="s">
        <v>59</v>
      </c>
      <c r="AK198" t="s">
        <v>584</v>
      </c>
      <c r="AL198" t="s">
        <v>61</v>
      </c>
      <c r="AQ198" t="s">
        <v>51</v>
      </c>
      <c r="AR198">
        <v>1</v>
      </c>
      <c r="AS198" t="s">
        <v>52</v>
      </c>
      <c r="AT198" t="s">
        <v>53</v>
      </c>
      <c r="AV198" t="s">
        <v>54</v>
      </c>
      <c r="AW198">
        <v>59.798777114328601</v>
      </c>
      <c r="AX198" t="s">
        <v>55</v>
      </c>
    </row>
    <row r="199" spans="1:50" x14ac:dyDescent="0.3">
      <c r="A199">
        <v>196</v>
      </c>
      <c r="B199">
        <v>0</v>
      </c>
      <c r="C199">
        <v>196</v>
      </c>
      <c r="D199" t="s">
        <v>585</v>
      </c>
      <c r="E199" t="s">
        <v>333</v>
      </c>
      <c r="F199" t="s">
        <v>58</v>
      </c>
      <c r="G199" t="s">
        <v>59</v>
      </c>
      <c r="H199" t="s">
        <v>59</v>
      </c>
      <c r="I199">
        <f t="shared" si="5"/>
        <v>1.6017738999798801</v>
      </c>
      <c r="J199" t="s">
        <v>586</v>
      </c>
      <c r="K199" t="s">
        <v>61</v>
      </c>
      <c r="L199">
        <v>196</v>
      </c>
      <c r="M199">
        <v>0</v>
      </c>
      <c r="N199">
        <v>196</v>
      </c>
      <c r="O199">
        <v>0</v>
      </c>
      <c r="P199">
        <v>389.24897559999903</v>
      </c>
      <c r="Z199">
        <v>5</v>
      </c>
      <c r="AA199">
        <v>389.23749850003497</v>
      </c>
      <c r="AB199">
        <v>389.24897559999903</v>
      </c>
      <c r="AC199">
        <v>389.24897559999903</v>
      </c>
      <c r="AD199">
        <v>3.1567800091579501E-2</v>
      </c>
      <c r="AE199">
        <v>390.83940310007802</v>
      </c>
      <c r="AF199" t="s">
        <v>585</v>
      </c>
      <c r="AG199" t="s">
        <v>333</v>
      </c>
      <c r="AH199" t="s">
        <v>58</v>
      </c>
      <c r="AI199" t="s">
        <v>59</v>
      </c>
      <c r="AJ199" t="s">
        <v>59</v>
      </c>
      <c r="AK199" t="s">
        <v>586</v>
      </c>
      <c r="AL199" t="s">
        <v>61</v>
      </c>
      <c r="AQ199" t="s">
        <v>51</v>
      </c>
      <c r="AR199">
        <v>1</v>
      </c>
      <c r="AS199" t="s">
        <v>52</v>
      </c>
      <c r="AT199" t="s">
        <v>53</v>
      </c>
      <c r="AV199" t="s">
        <v>54</v>
      </c>
      <c r="AW199">
        <v>59.798777114328601</v>
      </c>
      <c r="AX199" t="s">
        <v>55</v>
      </c>
    </row>
    <row r="200" spans="1:50" x14ac:dyDescent="0.3">
      <c r="A200">
        <v>197</v>
      </c>
      <c r="B200">
        <v>0</v>
      </c>
      <c r="C200">
        <v>197</v>
      </c>
      <c r="D200" t="s">
        <v>587</v>
      </c>
      <c r="E200" t="s">
        <v>588</v>
      </c>
      <c r="F200" t="s">
        <v>58</v>
      </c>
      <c r="G200" t="s">
        <v>59</v>
      </c>
      <c r="H200" t="s">
        <v>59</v>
      </c>
      <c r="I200">
        <f t="shared" si="5"/>
        <v>1.8489540000446101</v>
      </c>
      <c r="J200" t="s">
        <v>589</v>
      </c>
      <c r="K200" t="s">
        <v>61</v>
      </c>
      <c r="L200">
        <v>197</v>
      </c>
      <c r="M200">
        <v>0</v>
      </c>
      <c r="N200">
        <v>197</v>
      </c>
      <c r="O200">
        <v>0</v>
      </c>
      <c r="P200">
        <v>390.888125500059</v>
      </c>
      <c r="Z200">
        <v>10</v>
      </c>
      <c r="AA200">
        <v>390.87378050002701</v>
      </c>
      <c r="AB200">
        <v>390.888125500059</v>
      </c>
      <c r="AC200">
        <v>390.888125500059</v>
      </c>
      <c r="AD200">
        <v>3.4126700018532498E-2</v>
      </c>
      <c r="AE200">
        <v>392.72285290004203</v>
      </c>
      <c r="AF200" t="s">
        <v>587</v>
      </c>
      <c r="AG200" t="s">
        <v>588</v>
      </c>
      <c r="AH200" t="s">
        <v>58</v>
      </c>
      <c r="AI200" t="s">
        <v>59</v>
      </c>
      <c r="AJ200" t="s">
        <v>59</v>
      </c>
      <c r="AK200" t="s">
        <v>589</v>
      </c>
      <c r="AL200" t="s">
        <v>61</v>
      </c>
      <c r="AQ200" t="s">
        <v>51</v>
      </c>
      <c r="AR200">
        <v>1</v>
      </c>
      <c r="AS200" t="s">
        <v>52</v>
      </c>
      <c r="AT200" t="s">
        <v>53</v>
      </c>
      <c r="AV200" t="s">
        <v>54</v>
      </c>
      <c r="AW200">
        <v>59.798777114328601</v>
      </c>
      <c r="AX200" t="s">
        <v>55</v>
      </c>
    </row>
    <row r="201" spans="1:50" x14ac:dyDescent="0.3">
      <c r="A201">
        <v>198</v>
      </c>
      <c r="B201">
        <v>0</v>
      </c>
      <c r="C201">
        <v>198</v>
      </c>
      <c r="D201" t="s">
        <v>424</v>
      </c>
      <c r="E201" t="s">
        <v>590</v>
      </c>
      <c r="F201" t="s">
        <v>58</v>
      </c>
      <c r="G201" t="s">
        <v>59</v>
      </c>
      <c r="H201" t="s">
        <v>59</v>
      </c>
      <c r="I201">
        <f t="shared" si="5"/>
        <v>1.3710090999957101</v>
      </c>
      <c r="J201" t="s">
        <v>591</v>
      </c>
      <c r="K201" t="s">
        <v>61</v>
      </c>
      <c r="L201">
        <v>198</v>
      </c>
      <c r="M201">
        <v>0</v>
      </c>
      <c r="N201">
        <v>198</v>
      </c>
      <c r="O201">
        <v>0</v>
      </c>
      <c r="P201">
        <v>392.76164120004898</v>
      </c>
      <c r="Z201">
        <v>5</v>
      </c>
      <c r="AA201">
        <v>392.75168750004298</v>
      </c>
      <c r="AB201">
        <v>392.76164120004898</v>
      </c>
      <c r="AC201">
        <v>392.76164120004898</v>
      </c>
      <c r="AD201">
        <v>2.8568200068548301E-2</v>
      </c>
      <c r="AE201">
        <v>394.122748300083</v>
      </c>
      <c r="AF201" t="s">
        <v>424</v>
      </c>
      <c r="AG201" t="s">
        <v>590</v>
      </c>
      <c r="AH201" t="s">
        <v>58</v>
      </c>
      <c r="AI201" t="s">
        <v>59</v>
      </c>
      <c r="AJ201" t="s">
        <v>59</v>
      </c>
      <c r="AK201" t="s">
        <v>591</v>
      </c>
      <c r="AL201" t="s">
        <v>61</v>
      </c>
      <c r="AQ201" t="s">
        <v>51</v>
      </c>
      <c r="AR201">
        <v>1</v>
      </c>
      <c r="AS201" t="s">
        <v>52</v>
      </c>
      <c r="AT201" t="s">
        <v>53</v>
      </c>
      <c r="AV201" t="s">
        <v>54</v>
      </c>
      <c r="AW201">
        <v>59.798777114328601</v>
      </c>
      <c r="AX201" t="s">
        <v>55</v>
      </c>
    </row>
    <row r="202" spans="1:50" x14ac:dyDescent="0.3">
      <c r="A202">
        <v>199</v>
      </c>
      <c r="B202">
        <v>0</v>
      </c>
      <c r="C202">
        <v>199</v>
      </c>
      <c r="D202" t="s">
        <v>592</v>
      </c>
      <c r="E202" t="s">
        <v>411</v>
      </c>
      <c r="F202" t="s">
        <v>58</v>
      </c>
      <c r="G202" t="s">
        <v>59</v>
      </c>
      <c r="H202" t="s">
        <v>59</v>
      </c>
      <c r="I202">
        <f t="shared" si="5"/>
        <v>1.9660714999772599</v>
      </c>
      <c r="J202" t="s">
        <v>593</v>
      </c>
      <c r="K202" t="s">
        <v>61</v>
      </c>
      <c r="L202">
        <v>199</v>
      </c>
      <c r="M202">
        <v>0</v>
      </c>
      <c r="N202">
        <v>199</v>
      </c>
      <c r="O202">
        <v>0</v>
      </c>
      <c r="P202">
        <v>394.14968340005697</v>
      </c>
      <c r="Z202">
        <v>5</v>
      </c>
      <c r="AA202">
        <v>394.13977350003501</v>
      </c>
      <c r="AB202">
        <v>394.14968340005697</v>
      </c>
      <c r="AC202">
        <v>394.14968340005697</v>
      </c>
      <c r="AD202">
        <v>1.69275000225752E-2</v>
      </c>
      <c r="AE202">
        <v>396.10601740004398</v>
      </c>
      <c r="AF202" t="s">
        <v>592</v>
      </c>
      <c r="AG202" t="s">
        <v>411</v>
      </c>
      <c r="AH202" t="s">
        <v>58</v>
      </c>
      <c r="AI202" t="s">
        <v>59</v>
      </c>
      <c r="AJ202" t="s">
        <v>59</v>
      </c>
      <c r="AK202" t="s">
        <v>593</v>
      </c>
      <c r="AL202" t="s">
        <v>61</v>
      </c>
      <c r="AQ202" t="s">
        <v>51</v>
      </c>
      <c r="AR202">
        <v>1</v>
      </c>
      <c r="AS202" t="s">
        <v>52</v>
      </c>
      <c r="AT202" t="s">
        <v>53</v>
      </c>
      <c r="AV202" t="s">
        <v>54</v>
      </c>
      <c r="AW202">
        <v>59.798777114328601</v>
      </c>
      <c r="AX202" t="s">
        <v>55</v>
      </c>
    </row>
    <row r="203" spans="1:50" x14ac:dyDescent="0.3">
      <c r="AM203">
        <v>396.10648900002701</v>
      </c>
      <c r="AN203">
        <v>396.119723899988</v>
      </c>
      <c r="AO203">
        <v>400.11932050005998</v>
      </c>
      <c r="AP203">
        <v>400.10345870000299</v>
      </c>
      <c r="AQ203" t="s">
        <v>51</v>
      </c>
      <c r="AR203">
        <v>1</v>
      </c>
      <c r="AS203" t="s">
        <v>52</v>
      </c>
      <c r="AT203" t="s">
        <v>53</v>
      </c>
      <c r="AV203" t="s">
        <v>54</v>
      </c>
      <c r="AW203">
        <v>59.798777114328601</v>
      </c>
      <c r="AX203" t="s">
        <v>55</v>
      </c>
    </row>
    <row r="205" spans="1:50" x14ac:dyDescent="0.3">
      <c r="H205" t="s">
        <v>594</v>
      </c>
      <c r="I205">
        <f>AVERAGE(I3:I202)</f>
        <v>1.9160487198951512</v>
      </c>
    </row>
    <row r="208" spans="1:50" x14ac:dyDescent="0.3">
      <c r="F208" s="1" t="s">
        <v>595</v>
      </c>
      <c r="G208" s="1" t="s">
        <v>596</v>
      </c>
      <c r="I208" t="s">
        <v>595</v>
      </c>
      <c r="J208" t="s">
        <v>596</v>
      </c>
      <c r="L208" s="1" t="s">
        <v>599</v>
      </c>
      <c r="M208" s="1">
        <f>(J210-J209)/(I210-I209)</f>
        <v>7.9556665971372894E-3</v>
      </c>
    </row>
    <row r="209" spans="6:10" x14ac:dyDescent="0.3">
      <c r="F209" s="1">
        <v>5</v>
      </c>
      <c r="G209" s="1">
        <f>'set 5'!E8</f>
        <v>1.8971743067947988</v>
      </c>
      <c r="I209">
        <v>5</v>
      </c>
      <c r="J209">
        <f>G209</f>
        <v>1.8971743067947988</v>
      </c>
    </row>
    <row r="210" spans="6:10" x14ac:dyDescent="0.3">
      <c r="F210" s="1">
        <v>10</v>
      </c>
      <c r="G210" s="1">
        <f>'set 10'!E7</f>
        <v>1.9369526397804853</v>
      </c>
      <c r="I210">
        <v>10</v>
      </c>
      <c r="J210">
        <f>G210</f>
        <v>1.9369526397804853</v>
      </c>
    </row>
    <row r="211" spans="6:10" x14ac:dyDescent="0.3">
      <c r="F211" s="1" t="s">
        <v>597</v>
      </c>
      <c r="G211" s="1">
        <f>I205</f>
        <v>1.9160487198951512</v>
      </c>
    </row>
  </sheetData>
  <autoFilter ref="Z1:Z211" xr:uid="{FB3C6561-73AA-44B5-B989-0B075A91C6D3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AE6D-20A6-4EDC-A8CF-A04788DF3917}">
  <sheetPr filterMode="1"/>
  <dimension ref="A1:E107"/>
  <sheetViews>
    <sheetView topLeftCell="A79" workbookViewId="0">
      <selection activeCell="A2" sqref="A2:A107"/>
    </sheetView>
  </sheetViews>
  <sheetFormatPr defaultRowHeight="14.4" x14ac:dyDescent="0.3"/>
  <sheetData>
    <row r="1" spans="1:5" x14ac:dyDescent="0.3">
      <c r="A1" t="s">
        <v>8</v>
      </c>
      <c r="B1" t="s">
        <v>9</v>
      </c>
    </row>
    <row r="2" spans="1:5" x14ac:dyDescent="0.3">
      <c r="A2">
        <v>2.2156246000667998</v>
      </c>
      <c r="B2" t="s">
        <v>61</v>
      </c>
    </row>
    <row r="3" spans="1:5" x14ac:dyDescent="0.3">
      <c r="A3">
        <v>2.0212072000140302</v>
      </c>
      <c r="B3" t="s">
        <v>61</v>
      </c>
    </row>
    <row r="4" spans="1:5" x14ac:dyDescent="0.3">
      <c r="A4">
        <v>2.0022472999989902</v>
      </c>
      <c r="B4" t="s">
        <v>61</v>
      </c>
    </row>
    <row r="5" spans="1:5" x14ac:dyDescent="0.3">
      <c r="A5">
        <v>2.2126678000204199</v>
      </c>
      <c r="B5" t="s">
        <v>61</v>
      </c>
    </row>
    <row r="6" spans="1:5" x14ac:dyDescent="0.3">
      <c r="A6">
        <v>1.90122999995946</v>
      </c>
      <c r="B6" t="s">
        <v>61</v>
      </c>
    </row>
    <row r="7" spans="1:5" x14ac:dyDescent="0.3">
      <c r="A7">
        <v>1.99995099997613</v>
      </c>
      <c r="B7" t="s">
        <v>61</v>
      </c>
    </row>
    <row r="8" spans="1:5" x14ac:dyDescent="0.3">
      <c r="A8">
        <v>1.9313347999704999</v>
      </c>
      <c r="B8" t="s">
        <v>61</v>
      </c>
      <c r="D8" t="s">
        <v>598</v>
      </c>
      <c r="E8">
        <f>AVERAGE(A2:A107)</f>
        <v>1.8971743067947988</v>
      </c>
    </row>
    <row r="9" spans="1:5" x14ac:dyDescent="0.3">
      <c r="A9">
        <v>2.35197890002746</v>
      </c>
      <c r="B9" t="s">
        <v>61</v>
      </c>
    </row>
    <row r="10" spans="1:5" x14ac:dyDescent="0.3">
      <c r="A10">
        <v>2.4137477000476699</v>
      </c>
      <c r="B10" t="s">
        <v>61</v>
      </c>
    </row>
    <row r="11" spans="1:5" x14ac:dyDescent="0.3">
      <c r="A11">
        <v>1.88693589996546</v>
      </c>
      <c r="B11" t="s">
        <v>61</v>
      </c>
    </row>
    <row r="12" spans="1:5" x14ac:dyDescent="0.3">
      <c r="A12">
        <v>1.9055265000788399</v>
      </c>
      <c r="B12" t="s">
        <v>61</v>
      </c>
    </row>
    <row r="13" spans="1:5" x14ac:dyDescent="0.3">
      <c r="A13">
        <v>2.5502737999195202</v>
      </c>
      <c r="B13" t="s">
        <v>61</v>
      </c>
    </row>
    <row r="14" spans="1:5" x14ac:dyDescent="0.3">
      <c r="A14">
        <v>2.2796959000406698</v>
      </c>
      <c r="B14" t="s">
        <v>61</v>
      </c>
    </row>
    <row r="15" spans="1:5" x14ac:dyDescent="0.3">
      <c r="A15">
        <v>1.7988240999402401</v>
      </c>
      <c r="B15" t="s">
        <v>61</v>
      </c>
    </row>
    <row r="16" spans="1:5" x14ac:dyDescent="0.3">
      <c r="A16">
        <v>2.0299507000017898</v>
      </c>
      <c r="B16" t="s">
        <v>61</v>
      </c>
    </row>
    <row r="17" spans="1:2" x14ac:dyDescent="0.3">
      <c r="A17">
        <v>2.1598279000027101</v>
      </c>
      <c r="B17" t="s">
        <v>61</v>
      </c>
    </row>
    <row r="18" spans="1:2" x14ac:dyDescent="0.3">
      <c r="A18">
        <v>2.1367172000463999</v>
      </c>
      <c r="B18" t="s">
        <v>61</v>
      </c>
    </row>
    <row r="19" spans="1:2" x14ac:dyDescent="0.3">
      <c r="A19">
        <v>1.6820423000026401</v>
      </c>
      <c r="B19" t="s">
        <v>61</v>
      </c>
    </row>
    <row r="20" spans="1:2" x14ac:dyDescent="0.3">
      <c r="A20">
        <v>2.4664884000085201</v>
      </c>
      <c r="B20" t="s">
        <v>61</v>
      </c>
    </row>
    <row r="21" spans="1:2" x14ac:dyDescent="0.3">
      <c r="A21">
        <v>1.72926259995438</v>
      </c>
      <c r="B21" t="s">
        <v>61</v>
      </c>
    </row>
    <row r="22" spans="1:2" x14ac:dyDescent="0.3">
      <c r="A22">
        <v>2.0176468999125001</v>
      </c>
      <c r="B22" t="s">
        <v>61</v>
      </c>
    </row>
    <row r="23" spans="1:2" x14ac:dyDescent="0.3">
      <c r="A23">
        <v>2.2121941000223102</v>
      </c>
      <c r="B23" t="s">
        <v>61</v>
      </c>
    </row>
    <row r="24" spans="1:2" x14ac:dyDescent="0.3">
      <c r="A24">
        <v>1.84522560006007</v>
      </c>
      <c r="B24" t="s">
        <v>61</v>
      </c>
    </row>
    <row r="25" spans="1:2" x14ac:dyDescent="0.3">
      <c r="A25">
        <v>2.0375956000061701</v>
      </c>
      <c r="B25" t="s">
        <v>61</v>
      </c>
    </row>
    <row r="26" spans="1:2" x14ac:dyDescent="0.3">
      <c r="A26">
        <v>2.0458067000144999</v>
      </c>
      <c r="B26" t="s">
        <v>61</v>
      </c>
    </row>
    <row r="27" spans="1:2" x14ac:dyDescent="0.3">
      <c r="A27">
        <v>2.0258571000304002</v>
      </c>
      <c r="B27" t="s">
        <v>61</v>
      </c>
    </row>
    <row r="28" spans="1:2" x14ac:dyDescent="0.3">
      <c r="A28">
        <v>2.1629919999977498</v>
      </c>
      <c r="B28" t="s">
        <v>61</v>
      </c>
    </row>
    <row r="29" spans="1:2" x14ac:dyDescent="0.3">
      <c r="A29">
        <v>1.9796028999844499</v>
      </c>
      <c r="B29" t="s">
        <v>61</v>
      </c>
    </row>
    <row r="30" spans="1:2" x14ac:dyDescent="0.3">
      <c r="A30">
        <v>1.8683707000454799</v>
      </c>
      <c r="B30" t="s">
        <v>61</v>
      </c>
    </row>
    <row r="31" spans="1:2" x14ac:dyDescent="0.3">
      <c r="A31">
        <v>1.9059310000156899</v>
      </c>
      <c r="B31" t="s">
        <v>61</v>
      </c>
    </row>
    <row r="32" spans="1:2" x14ac:dyDescent="0.3">
      <c r="A32">
        <v>2.09070649999193</v>
      </c>
      <c r="B32" t="s">
        <v>61</v>
      </c>
    </row>
    <row r="33" spans="1:2" x14ac:dyDescent="0.3">
      <c r="A33">
        <v>2.35171239997725</v>
      </c>
      <c r="B33" t="s">
        <v>61</v>
      </c>
    </row>
    <row r="34" spans="1:2" x14ac:dyDescent="0.3">
      <c r="A34">
        <v>3.4570214999839601</v>
      </c>
      <c r="B34" t="s">
        <v>61</v>
      </c>
    </row>
    <row r="35" spans="1:2" x14ac:dyDescent="0.3">
      <c r="A35">
        <v>2.5729580000042902</v>
      </c>
      <c r="B35" t="s">
        <v>61</v>
      </c>
    </row>
    <row r="36" spans="1:2" x14ac:dyDescent="0.3">
      <c r="A36">
        <v>2.2404523000586698</v>
      </c>
      <c r="B36" t="s">
        <v>61</v>
      </c>
    </row>
    <row r="37" spans="1:2" x14ac:dyDescent="0.3">
      <c r="A37">
        <v>2.0899729999946399</v>
      </c>
      <c r="B37" t="s">
        <v>61</v>
      </c>
    </row>
    <row r="38" spans="1:2" x14ac:dyDescent="0.3">
      <c r="A38">
        <v>1.6776975999819099</v>
      </c>
      <c r="B38" t="s">
        <v>61</v>
      </c>
    </row>
    <row r="39" spans="1:2" x14ac:dyDescent="0.3">
      <c r="A39">
        <v>1.76331449998542</v>
      </c>
      <c r="B39" t="s">
        <v>61</v>
      </c>
    </row>
    <row r="40" spans="1:2" x14ac:dyDescent="0.3">
      <c r="A40">
        <v>1.8341887999558799</v>
      </c>
      <c r="B40" t="s">
        <v>61</v>
      </c>
    </row>
    <row r="41" spans="1:2" x14ac:dyDescent="0.3">
      <c r="A41">
        <v>1.6711684999754599</v>
      </c>
      <c r="B41" t="s">
        <v>61</v>
      </c>
    </row>
    <row r="42" spans="1:2" x14ac:dyDescent="0.3">
      <c r="A42">
        <v>1.8906623999355301</v>
      </c>
      <c r="B42" t="s">
        <v>61</v>
      </c>
    </row>
    <row r="43" spans="1:2" x14ac:dyDescent="0.3">
      <c r="A43">
        <v>1.78967890003696</v>
      </c>
      <c r="B43" t="s">
        <v>61</v>
      </c>
    </row>
    <row r="44" spans="1:2" x14ac:dyDescent="0.3">
      <c r="A44">
        <v>1.1580844999989399</v>
      </c>
      <c r="B44" t="s">
        <v>61</v>
      </c>
    </row>
    <row r="45" spans="1:2" x14ac:dyDescent="0.3">
      <c r="A45">
        <v>1.7391378999454901</v>
      </c>
      <c r="B45" t="s">
        <v>61</v>
      </c>
    </row>
    <row r="46" spans="1:2" x14ac:dyDescent="0.3">
      <c r="A46">
        <v>1.9386465999996201</v>
      </c>
      <c r="B46" t="s">
        <v>61</v>
      </c>
    </row>
    <row r="47" spans="1:2" x14ac:dyDescent="0.3">
      <c r="A47">
        <v>2.3895902000367601</v>
      </c>
      <c r="B47" t="s">
        <v>61</v>
      </c>
    </row>
    <row r="48" spans="1:2" x14ac:dyDescent="0.3">
      <c r="A48">
        <v>2.2124390000244598</v>
      </c>
      <c r="B48" t="s">
        <v>61</v>
      </c>
    </row>
    <row r="49" spans="1:2" x14ac:dyDescent="0.3">
      <c r="A49">
        <v>2.11218649998772</v>
      </c>
      <c r="B49" t="s">
        <v>61</v>
      </c>
    </row>
    <row r="50" spans="1:2" x14ac:dyDescent="0.3">
      <c r="A50">
        <v>1.7323160999221701</v>
      </c>
      <c r="B50" t="s">
        <v>61</v>
      </c>
    </row>
    <row r="51" spans="1:2" x14ac:dyDescent="0.3">
      <c r="A51">
        <v>1.9798370000207699</v>
      </c>
      <c r="B51" t="s">
        <v>61</v>
      </c>
    </row>
    <row r="52" spans="1:2" x14ac:dyDescent="0.3">
      <c r="A52">
        <v>1.5448793999385</v>
      </c>
      <c r="B52" t="s">
        <v>61</v>
      </c>
    </row>
    <row r="53" spans="1:2" x14ac:dyDescent="0.3">
      <c r="A53">
        <v>1.47217620001174</v>
      </c>
      <c r="B53" t="s">
        <v>61</v>
      </c>
    </row>
    <row r="54" spans="1:2" x14ac:dyDescent="0.3">
      <c r="A54">
        <v>2.2633791000116599</v>
      </c>
      <c r="B54" t="s">
        <v>61</v>
      </c>
    </row>
    <row r="55" spans="1:2" x14ac:dyDescent="0.3">
      <c r="A55">
        <v>1.9913972999202001</v>
      </c>
      <c r="B55" t="s">
        <v>61</v>
      </c>
    </row>
    <row r="56" spans="1:2" x14ac:dyDescent="0.3">
      <c r="A56">
        <v>1.87373570003546</v>
      </c>
      <c r="B56" t="s">
        <v>61</v>
      </c>
    </row>
    <row r="57" spans="1:2" x14ac:dyDescent="0.3">
      <c r="A57">
        <v>1.57293850008863</v>
      </c>
      <c r="B57" t="s">
        <v>61</v>
      </c>
    </row>
    <row r="58" spans="1:2" x14ac:dyDescent="0.3">
      <c r="A58">
        <v>2.3513974000234099</v>
      </c>
      <c r="B58" t="s">
        <v>61</v>
      </c>
    </row>
    <row r="59" spans="1:2" x14ac:dyDescent="0.3">
      <c r="A59">
        <v>1.40548269997816</v>
      </c>
      <c r="B59" t="s">
        <v>61</v>
      </c>
    </row>
    <row r="60" spans="1:2" x14ac:dyDescent="0.3">
      <c r="A60">
        <v>1.86079239996615</v>
      </c>
      <c r="B60" t="s">
        <v>61</v>
      </c>
    </row>
    <row r="61" spans="1:2" x14ac:dyDescent="0.3">
      <c r="A61">
        <v>1.6682133999420301</v>
      </c>
      <c r="B61" t="s">
        <v>61</v>
      </c>
    </row>
    <row r="62" spans="1:2" x14ac:dyDescent="0.3">
      <c r="A62">
        <v>1.6728411000221901</v>
      </c>
      <c r="B62" t="s">
        <v>61</v>
      </c>
    </row>
    <row r="63" spans="1:2" x14ac:dyDescent="0.3">
      <c r="A63">
        <v>1.7437844000523901</v>
      </c>
      <c r="B63" t="s">
        <v>61</v>
      </c>
    </row>
    <row r="64" spans="1:2" x14ac:dyDescent="0.3">
      <c r="A64">
        <v>1.88643720000982</v>
      </c>
      <c r="B64" t="s">
        <v>61</v>
      </c>
    </row>
    <row r="65" spans="1:2" x14ac:dyDescent="0.3">
      <c r="A65">
        <v>1.75122430000919</v>
      </c>
      <c r="B65" t="s">
        <v>61</v>
      </c>
    </row>
    <row r="66" spans="1:2" x14ac:dyDescent="0.3">
      <c r="A66">
        <v>2.16838639997877</v>
      </c>
      <c r="B66" t="s">
        <v>61</v>
      </c>
    </row>
    <row r="67" spans="1:2" x14ac:dyDescent="0.3">
      <c r="A67">
        <v>2.05487380002159</v>
      </c>
      <c r="B67" t="s">
        <v>61</v>
      </c>
    </row>
    <row r="68" spans="1:2" x14ac:dyDescent="0.3">
      <c r="A68">
        <v>2.26981720002368</v>
      </c>
      <c r="B68" t="s">
        <v>61</v>
      </c>
    </row>
    <row r="69" spans="1:2" x14ac:dyDescent="0.3">
      <c r="A69">
        <v>1.80666320002637</v>
      </c>
      <c r="B69" t="s">
        <v>61</v>
      </c>
    </row>
    <row r="70" spans="1:2" x14ac:dyDescent="0.3">
      <c r="A70">
        <v>2.1422155000036498</v>
      </c>
      <c r="B70" t="s">
        <v>61</v>
      </c>
    </row>
    <row r="71" spans="1:2" x14ac:dyDescent="0.3">
      <c r="A71">
        <v>1.1719341001007699</v>
      </c>
      <c r="B71" t="s">
        <v>61</v>
      </c>
    </row>
    <row r="72" spans="1:2" x14ac:dyDescent="0.3">
      <c r="A72">
        <v>1.7575202999869299</v>
      </c>
      <c r="B72" t="s">
        <v>61</v>
      </c>
    </row>
    <row r="73" spans="1:2" x14ac:dyDescent="0.3">
      <c r="A73">
        <v>1.44448279996868</v>
      </c>
      <c r="B73" t="s">
        <v>61</v>
      </c>
    </row>
    <row r="74" spans="1:2" hidden="1" x14ac:dyDescent="0.3">
      <c r="B74" t="s">
        <v>404</v>
      </c>
    </row>
    <row r="75" spans="1:2" x14ac:dyDescent="0.3">
      <c r="A75">
        <v>1.6043762000044799</v>
      </c>
      <c r="B75" t="s">
        <v>61</v>
      </c>
    </row>
    <row r="76" spans="1:2" x14ac:dyDescent="0.3">
      <c r="A76">
        <v>1.24371919990517</v>
      </c>
      <c r="B76" t="s">
        <v>61</v>
      </c>
    </row>
    <row r="77" spans="1:2" x14ac:dyDescent="0.3">
      <c r="A77">
        <v>2.0743425000691702</v>
      </c>
      <c r="B77" t="s">
        <v>61</v>
      </c>
    </row>
    <row r="78" spans="1:2" x14ac:dyDescent="0.3">
      <c r="A78">
        <v>1.5744461999274699</v>
      </c>
      <c r="B78" t="s">
        <v>61</v>
      </c>
    </row>
    <row r="79" spans="1:2" x14ac:dyDescent="0.3">
      <c r="A79">
        <v>2.04910850001033</v>
      </c>
      <c r="B79" t="s">
        <v>61</v>
      </c>
    </row>
    <row r="80" spans="1:2" x14ac:dyDescent="0.3">
      <c r="A80">
        <v>1.795194300008</v>
      </c>
      <c r="B80" t="s">
        <v>61</v>
      </c>
    </row>
    <row r="81" spans="1:2" x14ac:dyDescent="0.3">
      <c r="A81">
        <v>1.91565929993521</v>
      </c>
      <c r="B81" t="s">
        <v>61</v>
      </c>
    </row>
    <row r="82" spans="1:2" hidden="1" x14ac:dyDescent="0.3">
      <c r="B82" t="s">
        <v>404</v>
      </c>
    </row>
    <row r="83" spans="1:2" x14ac:dyDescent="0.3">
      <c r="A83">
        <v>1.8567769000073799</v>
      </c>
      <c r="B83" t="s">
        <v>61</v>
      </c>
    </row>
    <row r="84" spans="1:2" x14ac:dyDescent="0.3">
      <c r="A84">
        <v>2.26758799992967</v>
      </c>
      <c r="B84" t="s">
        <v>61</v>
      </c>
    </row>
    <row r="85" spans="1:2" x14ac:dyDescent="0.3">
      <c r="A85">
        <v>1.3617885999847199</v>
      </c>
      <c r="B85" t="s">
        <v>61</v>
      </c>
    </row>
    <row r="86" spans="1:2" x14ac:dyDescent="0.3">
      <c r="A86">
        <v>1.4785108999349099</v>
      </c>
      <c r="B86" t="s">
        <v>61</v>
      </c>
    </row>
    <row r="87" spans="1:2" x14ac:dyDescent="0.3">
      <c r="A87">
        <v>1.7564136000582899</v>
      </c>
      <c r="B87" t="s">
        <v>61</v>
      </c>
    </row>
    <row r="88" spans="1:2" x14ac:dyDescent="0.3">
      <c r="A88">
        <v>1.7026582000544199</v>
      </c>
      <c r="B88" t="s">
        <v>61</v>
      </c>
    </row>
    <row r="89" spans="1:2" x14ac:dyDescent="0.3">
      <c r="A89">
        <v>1.9365372000029299</v>
      </c>
      <c r="B89" t="s">
        <v>61</v>
      </c>
    </row>
    <row r="90" spans="1:2" hidden="1" x14ac:dyDescent="0.3">
      <c r="B90" t="s">
        <v>404</v>
      </c>
    </row>
    <row r="91" spans="1:2" x14ac:dyDescent="0.3">
      <c r="A91">
        <v>1.2709152000024899</v>
      </c>
      <c r="B91" t="s">
        <v>61</v>
      </c>
    </row>
    <row r="92" spans="1:2" x14ac:dyDescent="0.3">
      <c r="A92">
        <v>1.83512959990184</v>
      </c>
      <c r="B92" t="s">
        <v>61</v>
      </c>
    </row>
    <row r="93" spans="1:2" x14ac:dyDescent="0.3">
      <c r="A93">
        <v>1.82195600005798</v>
      </c>
      <c r="B93" t="s">
        <v>61</v>
      </c>
    </row>
    <row r="94" spans="1:2" x14ac:dyDescent="0.3">
      <c r="A94">
        <v>1.8423303999006699</v>
      </c>
      <c r="B94" t="s">
        <v>61</v>
      </c>
    </row>
    <row r="95" spans="1:2" x14ac:dyDescent="0.3">
      <c r="A95">
        <v>1.96833340008743</v>
      </c>
      <c r="B95" t="s">
        <v>61</v>
      </c>
    </row>
    <row r="96" spans="1:2" x14ac:dyDescent="0.3">
      <c r="A96">
        <v>1.60470480006188</v>
      </c>
      <c r="B96" t="s">
        <v>61</v>
      </c>
    </row>
    <row r="97" spans="1:2" x14ac:dyDescent="0.3">
      <c r="A97">
        <v>2.0963101999368501</v>
      </c>
      <c r="B97" t="s">
        <v>61</v>
      </c>
    </row>
    <row r="98" spans="1:2" x14ac:dyDescent="0.3">
      <c r="A98">
        <v>1.55724650004412</v>
      </c>
      <c r="B98" t="s">
        <v>61</v>
      </c>
    </row>
    <row r="99" spans="1:2" x14ac:dyDescent="0.3">
      <c r="A99">
        <v>1.6704236000077799</v>
      </c>
      <c r="B99" t="s">
        <v>61</v>
      </c>
    </row>
    <row r="100" spans="1:2" x14ac:dyDescent="0.3">
      <c r="A100">
        <v>1.22939330001827</v>
      </c>
      <c r="B100" t="s">
        <v>61</v>
      </c>
    </row>
    <row r="101" spans="1:2" x14ac:dyDescent="0.3">
      <c r="A101">
        <v>1.5216320999898001</v>
      </c>
      <c r="B101" t="s">
        <v>61</v>
      </c>
    </row>
    <row r="102" spans="1:2" x14ac:dyDescent="0.3">
      <c r="A102">
        <v>1.87295999994967</v>
      </c>
      <c r="B102" t="s">
        <v>61</v>
      </c>
    </row>
    <row r="103" spans="1:2" x14ac:dyDescent="0.3">
      <c r="A103">
        <v>1.50359830004163</v>
      </c>
      <c r="B103" t="s">
        <v>61</v>
      </c>
    </row>
    <row r="104" spans="1:2" x14ac:dyDescent="0.3">
      <c r="A104">
        <v>1.7149443000089299</v>
      </c>
      <c r="B104" t="s">
        <v>61</v>
      </c>
    </row>
    <row r="105" spans="1:2" x14ac:dyDescent="0.3">
      <c r="A105">
        <v>1.6017738999798801</v>
      </c>
      <c r="B105" t="s">
        <v>61</v>
      </c>
    </row>
    <row r="106" spans="1:2" x14ac:dyDescent="0.3">
      <c r="A106">
        <v>1.3710090999957101</v>
      </c>
      <c r="B106" t="s">
        <v>61</v>
      </c>
    </row>
    <row r="107" spans="1:2" x14ac:dyDescent="0.3">
      <c r="A107">
        <v>1.9660714999772599</v>
      </c>
      <c r="B107" t="s">
        <v>61</v>
      </c>
    </row>
  </sheetData>
  <autoFilter ref="B1:B107" xr:uid="{B7C1AE6D-20A6-4EDC-A8CF-A04788DF3917}">
    <filterColumn colId="0">
      <filters>
        <filter val="['target']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E1CA-2560-4488-89AF-17ED4E0EF531}">
  <sheetPr filterMode="1"/>
  <dimension ref="A1:E95"/>
  <sheetViews>
    <sheetView topLeftCell="A68" workbookViewId="0">
      <selection activeCell="A2" sqref="A2:A95"/>
    </sheetView>
  </sheetViews>
  <sheetFormatPr defaultRowHeight="14.4" x14ac:dyDescent="0.3"/>
  <sheetData>
    <row r="1" spans="1:5" x14ac:dyDescent="0.3">
      <c r="A1" t="s">
        <v>8</v>
      </c>
      <c r="B1" t="s">
        <v>9</v>
      </c>
    </row>
    <row r="2" spans="1:5" x14ac:dyDescent="0.3">
      <c r="A2">
        <v>2.8496534998994298</v>
      </c>
      <c r="B2" t="s">
        <v>61</v>
      </c>
    </row>
    <row r="3" spans="1:5" x14ac:dyDescent="0.3">
      <c r="A3">
        <v>2.5596520999679302</v>
      </c>
      <c r="B3" t="s">
        <v>61</v>
      </c>
    </row>
    <row r="4" spans="1:5" x14ac:dyDescent="0.3">
      <c r="A4">
        <v>1.8617934000212699</v>
      </c>
      <c r="B4" t="s">
        <v>61</v>
      </c>
    </row>
    <row r="5" spans="1:5" x14ac:dyDescent="0.3">
      <c r="A5">
        <v>1.81372750003356</v>
      </c>
      <c r="B5" t="s">
        <v>61</v>
      </c>
    </row>
    <row r="6" spans="1:5" x14ac:dyDescent="0.3">
      <c r="A6">
        <v>2.3217443000758</v>
      </c>
      <c r="B6" t="s">
        <v>61</v>
      </c>
    </row>
    <row r="7" spans="1:5" x14ac:dyDescent="0.3">
      <c r="A7">
        <v>1.9496100000105701</v>
      </c>
      <c r="B7" t="s">
        <v>61</v>
      </c>
      <c r="D7" t="s">
        <v>598</v>
      </c>
      <c r="E7">
        <f>AVERAGE(A2:A95)</f>
        <v>1.9369526397804853</v>
      </c>
    </row>
    <row r="8" spans="1:5" x14ac:dyDescent="0.3">
      <c r="A8">
        <v>1.8641940000234101</v>
      </c>
      <c r="B8" t="s">
        <v>61</v>
      </c>
    </row>
    <row r="9" spans="1:5" x14ac:dyDescent="0.3">
      <c r="A9">
        <v>2.8008952001109702</v>
      </c>
      <c r="B9" t="s">
        <v>61</v>
      </c>
    </row>
    <row r="10" spans="1:5" x14ac:dyDescent="0.3">
      <c r="A10">
        <v>1.6432583999121499</v>
      </c>
      <c r="B10" t="s">
        <v>61</v>
      </c>
    </row>
    <row r="11" spans="1:5" x14ac:dyDescent="0.3">
      <c r="A11">
        <v>1.9108296999474901</v>
      </c>
      <c r="B11" t="s">
        <v>61</v>
      </c>
    </row>
    <row r="12" spans="1:5" x14ac:dyDescent="0.3">
      <c r="A12">
        <v>1.9816341999685301</v>
      </c>
      <c r="B12" t="s">
        <v>61</v>
      </c>
    </row>
    <row r="13" spans="1:5" x14ac:dyDescent="0.3">
      <c r="A13">
        <v>2.6812038000207301</v>
      </c>
      <c r="B13" t="s">
        <v>61</v>
      </c>
    </row>
    <row r="14" spans="1:5" x14ac:dyDescent="0.3">
      <c r="A14">
        <v>2.9228130000410601</v>
      </c>
      <c r="B14" t="s">
        <v>61</v>
      </c>
    </row>
    <row r="15" spans="1:5" x14ac:dyDescent="0.3">
      <c r="A15">
        <v>2.1668724999763</v>
      </c>
      <c r="B15" t="s">
        <v>61</v>
      </c>
    </row>
    <row r="16" spans="1:5" x14ac:dyDescent="0.3">
      <c r="A16">
        <v>1.95254420000128</v>
      </c>
      <c r="B16" t="s">
        <v>61</v>
      </c>
    </row>
    <row r="17" spans="1:2" x14ac:dyDescent="0.3">
      <c r="A17">
        <v>1.8801581999287</v>
      </c>
      <c r="B17" t="s">
        <v>61</v>
      </c>
    </row>
    <row r="18" spans="1:2" x14ac:dyDescent="0.3">
      <c r="A18">
        <v>1.68331260001286</v>
      </c>
      <c r="B18" t="s">
        <v>61</v>
      </c>
    </row>
    <row r="19" spans="1:2" x14ac:dyDescent="0.3">
      <c r="A19">
        <v>1.83347670000512</v>
      </c>
      <c r="B19" t="s">
        <v>61</v>
      </c>
    </row>
    <row r="20" spans="1:2" x14ac:dyDescent="0.3">
      <c r="A20">
        <v>2.47238159994594</v>
      </c>
      <c r="B20" t="s">
        <v>61</v>
      </c>
    </row>
    <row r="21" spans="1:2" x14ac:dyDescent="0.3">
      <c r="A21">
        <v>2.0205916999839202</v>
      </c>
      <c r="B21" t="s">
        <v>61</v>
      </c>
    </row>
    <row r="22" spans="1:2" x14ac:dyDescent="0.3">
      <c r="A22">
        <v>2.09060850006062</v>
      </c>
      <c r="B22" t="s">
        <v>61</v>
      </c>
    </row>
    <row r="23" spans="1:2" x14ac:dyDescent="0.3">
      <c r="A23">
        <v>2.1966131000081002</v>
      </c>
      <c r="B23" t="s">
        <v>61</v>
      </c>
    </row>
    <row r="24" spans="1:2" x14ac:dyDescent="0.3">
      <c r="A24">
        <v>1.8898556999629299</v>
      </c>
      <c r="B24" t="s">
        <v>61</v>
      </c>
    </row>
    <row r="25" spans="1:2" x14ac:dyDescent="0.3">
      <c r="A25">
        <v>2.5006244999822198</v>
      </c>
      <c r="B25" t="s">
        <v>61</v>
      </c>
    </row>
    <row r="26" spans="1:2" x14ac:dyDescent="0.3">
      <c r="A26">
        <v>1.5651159000117301</v>
      </c>
      <c r="B26" t="s">
        <v>61</v>
      </c>
    </row>
    <row r="27" spans="1:2" x14ac:dyDescent="0.3">
      <c r="A27">
        <v>1.6576166000450001</v>
      </c>
      <c r="B27" t="s">
        <v>61</v>
      </c>
    </row>
    <row r="28" spans="1:2" x14ac:dyDescent="0.3">
      <c r="A28">
        <v>2.1689755000406801</v>
      </c>
      <c r="B28" t="s">
        <v>61</v>
      </c>
    </row>
    <row r="29" spans="1:2" x14ac:dyDescent="0.3">
      <c r="A29">
        <v>1.63032240001484</v>
      </c>
      <c r="B29" t="s">
        <v>61</v>
      </c>
    </row>
    <row r="30" spans="1:2" x14ac:dyDescent="0.3">
      <c r="A30">
        <v>2.1822095999959799</v>
      </c>
      <c r="B30" t="s">
        <v>61</v>
      </c>
    </row>
    <row r="31" spans="1:2" x14ac:dyDescent="0.3">
      <c r="A31">
        <v>2.4981089000357302</v>
      </c>
      <c r="B31" t="s">
        <v>61</v>
      </c>
    </row>
    <row r="32" spans="1:2" x14ac:dyDescent="0.3">
      <c r="A32">
        <v>2.8826621000189299</v>
      </c>
      <c r="B32" t="s">
        <v>61</v>
      </c>
    </row>
    <row r="33" spans="1:2" x14ac:dyDescent="0.3">
      <c r="A33">
        <v>2.7496772999875199</v>
      </c>
      <c r="B33" t="s">
        <v>61</v>
      </c>
    </row>
    <row r="34" spans="1:2" x14ac:dyDescent="0.3">
      <c r="A34">
        <v>2.12195279996376</v>
      </c>
      <c r="B34" t="s">
        <v>61</v>
      </c>
    </row>
    <row r="35" spans="1:2" x14ac:dyDescent="0.3">
      <c r="A35">
        <v>1.5913779999827899</v>
      </c>
      <c r="B35" t="s">
        <v>61</v>
      </c>
    </row>
    <row r="36" spans="1:2" x14ac:dyDescent="0.3">
      <c r="A36">
        <v>1.4167093998985301</v>
      </c>
      <c r="B36" t="s">
        <v>61</v>
      </c>
    </row>
    <row r="37" spans="1:2" x14ac:dyDescent="0.3">
      <c r="A37">
        <v>2.38620309997349</v>
      </c>
      <c r="B37" t="s">
        <v>61</v>
      </c>
    </row>
    <row r="38" spans="1:2" x14ac:dyDescent="0.3">
      <c r="A38">
        <v>2.7575399999041101</v>
      </c>
      <c r="B38" t="s">
        <v>61</v>
      </c>
    </row>
    <row r="39" spans="1:2" x14ac:dyDescent="0.3">
      <c r="A39">
        <v>1.6352813999401401</v>
      </c>
      <c r="B39" t="s">
        <v>61</v>
      </c>
    </row>
    <row r="40" spans="1:2" x14ac:dyDescent="0.3">
      <c r="A40">
        <v>2.30699970002751</v>
      </c>
      <c r="B40" t="s">
        <v>61</v>
      </c>
    </row>
    <row r="41" spans="1:2" x14ac:dyDescent="0.3">
      <c r="A41">
        <v>2.0032854999881202</v>
      </c>
      <c r="B41" t="s">
        <v>61</v>
      </c>
    </row>
    <row r="42" spans="1:2" x14ac:dyDescent="0.3">
      <c r="A42">
        <v>1.50298069999553</v>
      </c>
      <c r="B42" t="s">
        <v>61</v>
      </c>
    </row>
    <row r="43" spans="1:2" x14ac:dyDescent="0.3">
      <c r="A43">
        <v>2.1642929000081401</v>
      </c>
      <c r="B43" t="s">
        <v>61</v>
      </c>
    </row>
    <row r="44" spans="1:2" x14ac:dyDescent="0.3">
      <c r="A44">
        <v>1.65065650001633</v>
      </c>
      <c r="B44" t="s">
        <v>61</v>
      </c>
    </row>
    <row r="45" spans="1:2" x14ac:dyDescent="0.3">
      <c r="A45">
        <v>2.0472280000103602</v>
      </c>
      <c r="B45" t="s">
        <v>61</v>
      </c>
    </row>
    <row r="46" spans="1:2" x14ac:dyDescent="0.3">
      <c r="A46">
        <v>2.1499062998918799</v>
      </c>
      <c r="B46" t="s">
        <v>61</v>
      </c>
    </row>
    <row r="47" spans="1:2" x14ac:dyDescent="0.3">
      <c r="A47">
        <v>1.7692133999662401</v>
      </c>
      <c r="B47" t="s">
        <v>61</v>
      </c>
    </row>
    <row r="48" spans="1:2" x14ac:dyDescent="0.3">
      <c r="A48">
        <v>2.1318932999856699</v>
      </c>
      <c r="B48" t="s">
        <v>61</v>
      </c>
    </row>
    <row r="49" spans="1:2" x14ac:dyDescent="0.3">
      <c r="A49">
        <v>1.9371718000620599</v>
      </c>
      <c r="B49" t="s">
        <v>61</v>
      </c>
    </row>
    <row r="50" spans="1:2" x14ac:dyDescent="0.3">
      <c r="A50">
        <v>1.5765804999973601</v>
      </c>
      <c r="B50" t="s">
        <v>61</v>
      </c>
    </row>
    <row r="51" spans="1:2" x14ac:dyDescent="0.3">
      <c r="A51">
        <v>1.4227659000316599</v>
      </c>
      <c r="B51" t="s">
        <v>61</v>
      </c>
    </row>
    <row r="52" spans="1:2" x14ac:dyDescent="0.3">
      <c r="A52">
        <v>1.4582659999141401</v>
      </c>
      <c r="B52" t="s">
        <v>61</v>
      </c>
    </row>
    <row r="53" spans="1:2" x14ac:dyDescent="0.3">
      <c r="A53">
        <v>1.62241630000062</v>
      </c>
      <c r="B53" t="s">
        <v>61</v>
      </c>
    </row>
    <row r="54" spans="1:2" x14ac:dyDescent="0.3">
      <c r="A54">
        <v>1.7180535000516099</v>
      </c>
      <c r="B54" t="s">
        <v>61</v>
      </c>
    </row>
    <row r="55" spans="1:2" x14ac:dyDescent="0.3">
      <c r="A55">
        <v>1.95319220004603</v>
      </c>
      <c r="B55" t="s">
        <v>61</v>
      </c>
    </row>
    <row r="56" spans="1:2" x14ac:dyDescent="0.3">
      <c r="A56">
        <v>2.0659562000073399</v>
      </c>
      <c r="B56" t="s">
        <v>61</v>
      </c>
    </row>
    <row r="57" spans="1:2" x14ac:dyDescent="0.3">
      <c r="A57">
        <v>1.8671167999273099</v>
      </c>
      <c r="B57" t="s">
        <v>61</v>
      </c>
    </row>
    <row r="58" spans="1:2" x14ac:dyDescent="0.3">
      <c r="A58">
        <v>1.87268779997248</v>
      </c>
      <c r="B58" t="s">
        <v>61</v>
      </c>
    </row>
    <row r="59" spans="1:2" x14ac:dyDescent="0.3">
      <c r="A59">
        <v>2.1655527999391699</v>
      </c>
      <c r="B59" t="s">
        <v>61</v>
      </c>
    </row>
    <row r="60" spans="1:2" x14ac:dyDescent="0.3">
      <c r="A60">
        <v>1.51659250003285</v>
      </c>
      <c r="B60" t="s">
        <v>61</v>
      </c>
    </row>
    <row r="61" spans="1:2" x14ac:dyDescent="0.3">
      <c r="A61">
        <v>2.36964159994386</v>
      </c>
      <c r="B61" t="s">
        <v>61</v>
      </c>
    </row>
    <row r="62" spans="1:2" x14ac:dyDescent="0.3">
      <c r="A62">
        <v>2.2347372999647601</v>
      </c>
      <c r="B62" t="s">
        <v>61</v>
      </c>
    </row>
    <row r="63" spans="1:2" x14ac:dyDescent="0.3">
      <c r="A63">
        <v>1.6150774999987301</v>
      </c>
      <c r="B63" t="s">
        <v>61</v>
      </c>
    </row>
    <row r="64" spans="1:2" x14ac:dyDescent="0.3">
      <c r="A64">
        <v>1.51347780006472</v>
      </c>
      <c r="B64" t="s">
        <v>61</v>
      </c>
    </row>
    <row r="65" spans="1:2" x14ac:dyDescent="0.3">
      <c r="A65">
        <v>1.1662802000064401</v>
      </c>
      <c r="B65" t="s">
        <v>61</v>
      </c>
    </row>
    <row r="66" spans="1:2" x14ac:dyDescent="0.3">
      <c r="A66">
        <v>1.2712018000893199</v>
      </c>
      <c r="B66" t="s">
        <v>61</v>
      </c>
    </row>
    <row r="67" spans="1:2" x14ac:dyDescent="0.3">
      <c r="A67">
        <v>1.4164321999996901</v>
      </c>
      <c r="B67" t="s">
        <v>61</v>
      </c>
    </row>
    <row r="68" spans="1:2" x14ac:dyDescent="0.3">
      <c r="A68">
        <v>1.8079920000163801</v>
      </c>
      <c r="B68" t="s">
        <v>61</v>
      </c>
    </row>
    <row r="69" spans="1:2" x14ac:dyDescent="0.3">
      <c r="A69">
        <v>1.8690359999891299</v>
      </c>
      <c r="B69" t="s">
        <v>61</v>
      </c>
    </row>
    <row r="70" spans="1:2" x14ac:dyDescent="0.3">
      <c r="A70">
        <v>1.99544600001536</v>
      </c>
      <c r="B70" t="s">
        <v>61</v>
      </c>
    </row>
    <row r="71" spans="1:2" x14ac:dyDescent="0.3">
      <c r="A71">
        <v>1.42966739996336</v>
      </c>
      <c r="B71" t="s">
        <v>61</v>
      </c>
    </row>
    <row r="72" spans="1:2" x14ac:dyDescent="0.3">
      <c r="A72">
        <v>1.6045902000041601</v>
      </c>
      <c r="B72" t="s">
        <v>61</v>
      </c>
    </row>
    <row r="73" spans="1:2" x14ac:dyDescent="0.3">
      <c r="A73">
        <v>1.2785562999779301</v>
      </c>
      <c r="B73" t="s">
        <v>61</v>
      </c>
    </row>
    <row r="74" spans="1:2" x14ac:dyDescent="0.3">
      <c r="A74">
        <v>2.0682040998944999</v>
      </c>
      <c r="B74" t="s">
        <v>61</v>
      </c>
    </row>
    <row r="75" spans="1:2" x14ac:dyDescent="0.3">
      <c r="A75">
        <v>1.7265730999642901</v>
      </c>
      <c r="B75" t="s">
        <v>61</v>
      </c>
    </row>
    <row r="76" spans="1:2" x14ac:dyDescent="0.3">
      <c r="A76">
        <v>1.6908361000241701</v>
      </c>
      <c r="B76" t="s">
        <v>61</v>
      </c>
    </row>
    <row r="77" spans="1:2" x14ac:dyDescent="0.3">
      <c r="A77">
        <v>1.38968060002662</v>
      </c>
      <c r="B77" t="s">
        <v>61</v>
      </c>
    </row>
    <row r="78" spans="1:2" x14ac:dyDescent="0.3">
      <c r="A78">
        <v>1.3810679999878599</v>
      </c>
      <c r="B78" t="s">
        <v>61</v>
      </c>
    </row>
    <row r="79" spans="1:2" x14ac:dyDescent="0.3">
      <c r="A79">
        <v>1.8263223000103599</v>
      </c>
      <c r="B79" t="s">
        <v>61</v>
      </c>
    </row>
    <row r="80" spans="1:2" x14ac:dyDescent="0.3">
      <c r="A80">
        <v>2.5299650999950201</v>
      </c>
      <c r="B80" t="s">
        <v>61</v>
      </c>
    </row>
    <row r="81" spans="1:2" x14ac:dyDescent="0.3">
      <c r="A81">
        <v>1.6911727000260699</v>
      </c>
      <c r="B81" t="s">
        <v>61</v>
      </c>
    </row>
    <row r="82" spans="1:2" x14ac:dyDescent="0.3">
      <c r="A82">
        <v>1.78036520001478</v>
      </c>
      <c r="B82" t="s">
        <v>61</v>
      </c>
    </row>
    <row r="83" spans="1:2" x14ac:dyDescent="0.3">
      <c r="A83">
        <v>1.7267638000193899</v>
      </c>
      <c r="B83" t="s">
        <v>61</v>
      </c>
    </row>
    <row r="84" spans="1:2" x14ac:dyDescent="0.3">
      <c r="A84">
        <v>1.5572509999619699</v>
      </c>
      <c r="B84" t="s">
        <v>61</v>
      </c>
    </row>
    <row r="85" spans="1:2" x14ac:dyDescent="0.3">
      <c r="A85">
        <v>2.46107189997565</v>
      </c>
      <c r="B85" t="s">
        <v>61</v>
      </c>
    </row>
    <row r="86" spans="1:2" x14ac:dyDescent="0.3">
      <c r="A86">
        <v>1.53588250000029</v>
      </c>
      <c r="B86" t="s">
        <v>61</v>
      </c>
    </row>
    <row r="87" spans="1:2" x14ac:dyDescent="0.3">
      <c r="A87">
        <v>1.9768259999109401</v>
      </c>
      <c r="B87" t="s">
        <v>61</v>
      </c>
    </row>
    <row r="88" spans="1:2" x14ac:dyDescent="0.3">
      <c r="A88">
        <v>2.4339365999912799</v>
      </c>
      <c r="B88" t="s">
        <v>61</v>
      </c>
    </row>
    <row r="89" spans="1:2" x14ac:dyDescent="0.3">
      <c r="A89">
        <v>1.92765590001363</v>
      </c>
      <c r="B89" t="s">
        <v>61</v>
      </c>
    </row>
    <row r="90" spans="1:2" x14ac:dyDescent="0.3">
      <c r="A90">
        <v>2.0507636000402201</v>
      </c>
      <c r="B90" t="s">
        <v>61</v>
      </c>
    </row>
    <row r="91" spans="1:2" x14ac:dyDescent="0.3">
      <c r="A91">
        <v>1.98800760006997</v>
      </c>
      <c r="B91" t="s">
        <v>61</v>
      </c>
    </row>
    <row r="92" spans="1:2" x14ac:dyDescent="0.3">
      <c r="A92">
        <v>1.70798950002063</v>
      </c>
      <c r="B92" t="s">
        <v>61</v>
      </c>
    </row>
    <row r="93" spans="1:2" x14ac:dyDescent="0.3">
      <c r="A93">
        <v>1.27055959997233</v>
      </c>
      <c r="B93" t="s">
        <v>61</v>
      </c>
    </row>
    <row r="94" spans="1:2" hidden="1" x14ac:dyDescent="0.3">
      <c r="B94" t="s">
        <v>404</v>
      </c>
    </row>
    <row r="95" spans="1:2" x14ac:dyDescent="0.3">
      <c r="A95">
        <v>1.8489540000446101</v>
      </c>
      <c r="B95" t="s">
        <v>61</v>
      </c>
    </row>
  </sheetData>
  <autoFilter ref="A1:B95" xr:uid="{29FAE1CA-2560-4488-89AF-17ED4E0EF531}">
    <filterColumn colId="1">
      <filters>
        <filter val="['target']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participant004_Visual Search_20</vt:lpstr>
      <vt:lpstr>set 5</vt:lpstr>
      <vt:lpstr>set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2026-10-29T04:35:26Z</dcterms:created>
  <dcterms:modified xsi:type="dcterms:W3CDTF">2026-10-29T06:02:32Z</dcterms:modified>
</cp:coreProperties>
</file>