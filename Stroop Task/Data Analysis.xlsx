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Stroop Task\"/>
    </mc:Choice>
  </mc:AlternateContent>
  <xr:revisionPtr revIDLastSave="0" documentId="13_ncr:1_{C4F7222A-5E40-4403-A313-093FEC349C03}" xr6:coauthVersionLast="47" xr6:coauthVersionMax="47" xr10:uidLastSave="{00000000-0000-0000-0000-000000000000}"/>
  <bookViews>
    <workbookView xWindow="-108" yWindow="-108" windowWidth="23256" windowHeight="12456" xr2:uid="{E7436489-7F57-4FA9-A743-442E4E8504C1}"/>
  </bookViews>
  <sheets>
    <sheet name="C and I cond." sheetId="2" r:id="rId1"/>
    <sheet name="Data" sheetId="1" r:id="rId2"/>
  </sheets>
  <definedNames>
    <definedName name="_xlnm._FilterDatabase" localSheetId="1" hidden="1">Data!$C$1:$C$42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  <c r="D50" i="2"/>
  <c r="F42" i="1"/>
  <c r="F47" i="2"/>
  <c r="C50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J23" i="2"/>
  <c r="H2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2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3" i="2"/>
  <c r="H5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47" i="2" l="1"/>
  <c r="J47" i="2" s="1"/>
  <c r="H42" i="1"/>
  <c r="J42" i="1" s="1"/>
</calcChain>
</file>

<file path=xl/sharedStrings.xml><?xml version="1.0" encoding="utf-8"?>
<sst xmlns="http://schemas.openxmlformats.org/spreadsheetml/2006/main" count="441" uniqueCount="27">
  <si>
    <t>word</t>
  </si>
  <si>
    <t>colour</t>
  </si>
  <si>
    <t>stimulus_condition</t>
  </si>
  <si>
    <t>correct_resp</t>
  </si>
  <si>
    <t>RED</t>
  </si>
  <si>
    <t>blue</t>
  </si>
  <si>
    <t>I</t>
  </si>
  <si>
    <t>b</t>
  </si>
  <si>
    <t>red</t>
  </si>
  <si>
    <t>C</t>
  </si>
  <si>
    <t>r</t>
  </si>
  <si>
    <t>BLUE</t>
  </si>
  <si>
    <t>key_resp.keys</t>
  </si>
  <si>
    <t>key_resp.rt</t>
  </si>
  <si>
    <t>Congruent Trials</t>
  </si>
  <si>
    <t xml:space="preserve">Incogruent Trials </t>
  </si>
  <si>
    <t>correct=</t>
  </si>
  <si>
    <t>incorrect_resp=</t>
  </si>
  <si>
    <t>Correct/incorrect_resp</t>
  </si>
  <si>
    <t>incorrect=</t>
  </si>
  <si>
    <t>correct</t>
  </si>
  <si>
    <t>incorrect</t>
  </si>
  <si>
    <t>mean=</t>
  </si>
  <si>
    <t xml:space="preserve">mean= </t>
  </si>
  <si>
    <t>reaction time</t>
  </si>
  <si>
    <t xml:space="preserve">congruent 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</si>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</sst>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Measuring</a:t>
            </a:r>
            <a:r>
              <a:rPr lang="en-IN" baseline="0"/>
              <a:t> Correct and Incorrect Responses for Congruent Conditions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and I cond.'!$K$3:$L$3</c:f>
              <c:strCache>
                <c:ptCount val="2"/>
                <c:pt idx="0">
                  <c:v>correct</c:v>
                </c:pt>
                <c:pt idx="1">
                  <c:v>incorrect</c:v>
                </c:pt>
              </c:strCache>
            </c:strRef>
          </c:cat>
          <c:val>
            <c:numRef>
              <c:f>'C and I cond.'!$K$4:$L$4</c:f>
              <c:numCache>
                <c:formatCode>General</c:formatCode>
                <c:ptCount val="2"/>
                <c:pt idx="0">
                  <c:v>19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6-4074-8283-CFA051B9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078495"/>
        <c:axId val="548297583"/>
      </c:barChart>
      <c:catAx>
        <c:axId val="116607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97583"/>
        <c:crosses val="autoZero"/>
        <c:auto val="1"/>
        <c:lblAlgn val="ctr"/>
        <c:lblOffset val="100"/>
        <c:noMultiLvlLbl val="0"/>
      </c:catAx>
      <c:valAx>
        <c:axId val="5482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07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Measuring Correct and Incorrect Responses for Incongruent Conditions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and I cond.'!$K$27:$L$27</c:f>
              <c:strCache>
                <c:ptCount val="2"/>
                <c:pt idx="0">
                  <c:v>correct</c:v>
                </c:pt>
                <c:pt idx="1">
                  <c:v>incorrect</c:v>
                </c:pt>
              </c:strCache>
            </c:strRef>
          </c:cat>
          <c:val>
            <c:numRef>
              <c:f>'C and I cond.'!$K$28:$L$28</c:f>
              <c:numCache>
                <c:formatCode>General</c:formatCode>
                <c:ptCount val="2"/>
                <c:pt idx="0">
                  <c:v>17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C-4CEA-8891-8EE6625D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637023"/>
        <c:axId val="548324943"/>
      </c:barChart>
      <c:catAx>
        <c:axId val="108163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24943"/>
        <c:crosses val="autoZero"/>
        <c:auto val="1"/>
        <c:lblAlgn val="ctr"/>
        <c:lblOffset val="100"/>
        <c:noMultiLvlLbl val="0"/>
      </c:catAx>
      <c:valAx>
        <c:axId val="5483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3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 and I cond.'!$F$2</c:f>
              <c:strCache>
                <c:ptCount val="1"/>
                <c:pt idx="0">
                  <c:v>key_resp.rt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 and I cond.'!$F$3:$F$22</c:f>
              <c:numCache>
                <c:formatCode>General</c:formatCode>
                <c:ptCount val="20"/>
                <c:pt idx="0">
                  <c:v>0.68677720000005105</c:v>
                </c:pt>
                <c:pt idx="1">
                  <c:v>0.55344790000003696</c:v>
                </c:pt>
                <c:pt idx="2">
                  <c:v>0.62119770000003804</c:v>
                </c:pt>
                <c:pt idx="3">
                  <c:v>0.433291499999995</c:v>
                </c:pt>
                <c:pt idx="4">
                  <c:v>0.468791200000168</c:v>
                </c:pt>
                <c:pt idx="5">
                  <c:v>0.42670049999992399</c:v>
                </c:pt>
                <c:pt idx="6">
                  <c:v>0.57341169999995101</c:v>
                </c:pt>
                <c:pt idx="7">
                  <c:v>0.46060629999988101</c:v>
                </c:pt>
                <c:pt idx="8">
                  <c:v>0.43148110000015499</c:v>
                </c:pt>
                <c:pt idx="9">
                  <c:v>0.61443340000005198</c:v>
                </c:pt>
                <c:pt idx="10">
                  <c:v>0.45227610000006202</c:v>
                </c:pt>
                <c:pt idx="11">
                  <c:v>0.42674190000002399</c:v>
                </c:pt>
                <c:pt idx="12">
                  <c:v>0.53463749999991705</c:v>
                </c:pt>
                <c:pt idx="13">
                  <c:v>0.49039730000004</c:v>
                </c:pt>
                <c:pt idx="14">
                  <c:v>0.46765370000002798</c:v>
                </c:pt>
                <c:pt idx="15">
                  <c:v>0.44160759999999699</c:v>
                </c:pt>
                <c:pt idx="16">
                  <c:v>0.441493799999989</c:v>
                </c:pt>
                <c:pt idx="17">
                  <c:v>0.49787119999996299</c:v>
                </c:pt>
                <c:pt idx="18">
                  <c:v>0.29934539999999199</c:v>
                </c:pt>
                <c:pt idx="19">
                  <c:v>0.28468319999979003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C-44EE-84CC-42517C0D7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88112"/>
        <c:axId val="167614480"/>
      </c:scatterChart>
      <c:valAx>
        <c:axId val="1588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480"/>
        <c:crosses val="autoZero"/>
        <c:crossBetween val="midCat"/>
      </c:valAx>
      <c:valAx>
        <c:axId val="167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 and I cond.'!$F$26</c:f>
              <c:strCache>
                <c:ptCount val="1"/>
                <c:pt idx="0">
                  <c:v>key_resp.rt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 and I cond.'!$F$27:$F$46</c:f>
              <c:numCache>
                <c:formatCode>General</c:formatCode>
                <c:ptCount val="20"/>
                <c:pt idx="0">
                  <c:v>1.9798258000000699</c:v>
                </c:pt>
                <c:pt idx="1">
                  <c:v>0.61131199999999797</c:v>
                </c:pt>
                <c:pt idx="2">
                  <c:v>0.642236999999795</c:v>
                </c:pt>
                <c:pt idx="3">
                  <c:v>1.0506854000000201</c:v>
                </c:pt>
                <c:pt idx="4">
                  <c:v>0.43470249999995703</c:v>
                </c:pt>
                <c:pt idx="5">
                  <c:v>0.80191190000004997</c:v>
                </c:pt>
                <c:pt idx="6">
                  <c:v>0.46690499999999702</c:v>
                </c:pt>
                <c:pt idx="7">
                  <c:v>0.36392099999989103</c:v>
                </c:pt>
                <c:pt idx="8">
                  <c:v>0.80073990000005302</c:v>
                </c:pt>
                <c:pt idx="9">
                  <c:v>0.95470180000006599</c:v>
                </c:pt>
                <c:pt idx="10">
                  <c:v>0.37919609999994403</c:v>
                </c:pt>
                <c:pt idx="11">
                  <c:v>0.33431389999986999</c:v>
                </c:pt>
                <c:pt idx="12">
                  <c:v>0.43871329999978997</c:v>
                </c:pt>
                <c:pt idx="13">
                  <c:v>0.72081240000011304</c:v>
                </c:pt>
                <c:pt idx="14">
                  <c:v>0.79872139999997604</c:v>
                </c:pt>
                <c:pt idx="15">
                  <c:v>0.92220240000006004</c:v>
                </c:pt>
                <c:pt idx="16">
                  <c:v>0.41670599999997598</c:v>
                </c:pt>
                <c:pt idx="17">
                  <c:v>0.56224889999998595</c:v>
                </c:pt>
                <c:pt idx="18">
                  <c:v>0.33731420000003698</c:v>
                </c:pt>
                <c:pt idx="19">
                  <c:v>0.27051009999990999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B-4662-976F-10E6356B0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08672"/>
        <c:axId val="167722960"/>
      </c:scatterChart>
      <c:valAx>
        <c:axId val="2575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22960"/>
        <c:crosses val="autoZero"/>
        <c:crossBetween val="midCat"/>
      </c:valAx>
      <c:valAx>
        <c:axId val="1677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of Reaction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and I cond.'!$C$49:$D$49</c:f>
              <c:strCache>
                <c:ptCount val="2"/>
                <c:pt idx="0">
                  <c:v>congruent </c:v>
                </c:pt>
                <c:pt idx="1">
                  <c:v>incongruent</c:v>
                </c:pt>
              </c:strCache>
            </c:strRef>
          </c:cat>
          <c:val>
            <c:numRef>
              <c:f>'C and I cond.'!$C$50:$D$50</c:f>
              <c:numCache>
                <c:formatCode>General</c:formatCode>
                <c:ptCount val="2"/>
                <c:pt idx="0">
                  <c:v>0.48034231000000266</c:v>
                </c:pt>
                <c:pt idx="1">
                  <c:v>0.66438404999997813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2-45B6-A3B6-90B48D320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484544"/>
        <c:axId val="167666320"/>
      </c:barChart>
      <c:catAx>
        <c:axId val="2574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6320"/>
        <c:crosses val="autoZero"/>
        <c:auto val="1"/>
        <c:lblAlgn val="ctr"/>
        <c:lblOffset val="100"/>
        <c:noMultiLvlLbl val="0"/>
      </c:catAx>
      <c:valAx>
        <c:axId val="1676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Measuring</a:t>
            </a:r>
            <a:r>
              <a:rPr lang="en-IN" baseline="0"/>
              <a:t> Correct and Incorrect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Data!$J$2:$K$2</c:f>
              <c:strCache>
                <c:ptCount val="2"/>
                <c:pt idx="0">
                  <c:v>correct</c:v>
                </c:pt>
                <c:pt idx="1">
                  <c:v>incorrect</c:v>
                </c:pt>
              </c:strCache>
            </c:strRef>
          </c:cat>
          <c:val>
            <c:numRef>
              <c:f>Data!$J$3:$K$3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A-4A30-84AA-642D049C4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119327"/>
        <c:axId val="280847439"/>
      </c:barChart>
      <c:catAx>
        <c:axId val="11661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47439"/>
        <c:crosses val="autoZero"/>
        <c:auto val="1"/>
        <c:lblAlgn val="ctr"/>
        <c:lblOffset val="100"/>
        <c:noMultiLvlLbl val="0"/>
      </c:catAx>
      <c:valAx>
        <c:axId val="28084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1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5</xdr:row>
      <xdr:rowOff>133350</xdr:rowOff>
    </xdr:from>
    <xdr:to>
      <xdr:col>17</xdr:col>
      <xdr:colOff>167640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93DC3-E5DA-0CBE-A136-63F080A8E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434340</xdr:colOff>
      <xdr:row>30</xdr:row>
      <xdr:rowOff>49530</xdr:rowOff>
    </xdr:from>
    <xdr:to>
      <xdr:col>17</xdr:col>
      <xdr:colOff>129540</xdr:colOff>
      <xdr:row>45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D9EAF-B507-B04A-4880-192BCDED7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419100</xdr:colOff>
      <xdr:row>5</xdr:row>
      <xdr:rowOff>148590</xdr:rowOff>
    </xdr:from>
    <xdr:to>
      <xdr:col>25</xdr:col>
      <xdr:colOff>114300</xdr:colOff>
      <xdr:row>20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8A26D-BFDE-299B-BA96-DC030BFB0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480060</xdr:colOff>
      <xdr:row>30</xdr:row>
      <xdr:rowOff>57150</xdr:rowOff>
    </xdr:from>
    <xdr:to>
      <xdr:col>25</xdr:col>
      <xdr:colOff>175260</xdr:colOff>
      <xdr:row>45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5DA0D4-6620-08D3-B655-040D854A6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510540</xdr:colOff>
      <xdr:row>52</xdr:row>
      <xdr:rowOff>72390</xdr:rowOff>
    </xdr:from>
    <xdr:to>
      <xdr:col>6</xdr:col>
      <xdr:colOff>480060</xdr:colOff>
      <xdr:row>67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ACFFEA-D1EB-3CBF-17FA-FF50B6CA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9</xdr:row>
      <xdr:rowOff>118110</xdr:rowOff>
    </xdr:from>
    <xdr:to>
      <xdr:col>17</xdr:col>
      <xdr:colOff>312420</xdr:colOff>
      <xdr:row>24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8D548C-D5CD-087B-AC1C-7650EF1AE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6BD2-302D-45E8-939B-08302585D5D7}">
  <dimension ref="A1:L50"/>
  <sheetViews>
    <sheetView tabSelected="1" topLeftCell="G1" workbookViewId="0">
      <selection activeCell="AA31" sqref="AA31"/>
    </sheetView>
  </sheetViews>
  <sheetFormatPr defaultRowHeight="14.4" x14ac:dyDescent="0.3"/>
  <cols>
    <col min="2" max="2" width="11.88671875" bestFit="1" customWidth="1"/>
    <col min="3" max="3" width="16.44140625" bestFit="1" customWidth="1"/>
    <col min="4" max="4" width="12.109375" bestFit="1" customWidth="1"/>
  </cols>
  <sheetData>
    <row r="1" spans="1:12" x14ac:dyDescent="0.3">
      <c r="A1" s="1" t="s">
        <v>14</v>
      </c>
      <c r="B1" s="1"/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12</v>
      </c>
      <c r="F2" t="s">
        <v>13</v>
      </c>
      <c r="H2" t="s">
        <v>18</v>
      </c>
    </row>
    <row r="3" spans="1:12" x14ac:dyDescent="0.3">
      <c r="A3" t="s">
        <v>4</v>
      </c>
      <c r="B3" t="s">
        <v>8</v>
      </c>
      <c r="C3" t="s">
        <v>9</v>
      </c>
      <c r="D3" t="s">
        <v>10</v>
      </c>
      <c r="E3" t="s">
        <v>10</v>
      </c>
      <c r="F3">
        <v>0.68677720000005105</v>
      </c>
      <c r="H3">
        <f>IF(D3=E3,1,0)</f>
        <v>1</v>
      </c>
      <c r="K3" t="s">
        <v>20</v>
      </c>
      <c r="L3" t="s">
        <v>21</v>
      </c>
    </row>
    <row r="4" spans="1:12" x14ac:dyDescent="0.3">
      <c r="A4" t="s">
        <v>11</v>
      </c>
      <c r="B4" t="s">
        <v>5</v>
      </c>
      <c r="C4" t="s">
        <v>9</v>
      </c>
      <c r="D4" t="s">
        <v>7</v>
      </c>
      <c r="E4" t="s">
        <v>7</v>
      </c>
      <c r="F4">
        <v>0.55344790000003696</v>
      </c>
      <c r="H4">
        <f t="shared" ref="H4:H22" si="0">IF(D4=E4,1,0)</f>
        <v>1</v>
      </c>
      <c r="K4">
        <v>19</v>
      </c>
      <c r="L4">
        <v>1</v>
      </c>
    </row>
    <row r="5" spans="1:12" x14ac:dyDescent="0.3">
      <c r="A5" t="s">
        <v>11</v>
      </c>
      <c r="B5" t="s">
        <v>5</v>
      </c>
      <c r="C5" t="s">
        <v>9</v>
      </c>
      <c r="D5" t="s">
        <v>7</v>
      </c>
      <c r="E5" t="s">
        <v>7</v>
      </c>
      <c r="F5">
        <v>0.62119770000003804</v>
      </c>
      <c r="H5">
        <f t="shared" si="0"/>
        <v>1</v>
      </c>
    </row>
    <row r="6" spans="1:12" x14ac:dyDescent="0.3">
      <c r="A6" t="s">
        <v>4</v>
      </c>
      <c r="B6" t="s">
        <v>8</v>
      </c>
      <c r="C6" t="s">
        <v>9</v>
      </c>
      <c r="D6" t="s">
        <v>10</v>
      </c>
      <c r="E6" t="s">
        <v>10</v>
      </c>
      <c r="F6">
        <v>0.433291499999995</v>
      </c>
      <c r="H6">
        <f t="shared" si="0"/>
        <v>1</v>
      </c>
    </row>
    <row r="7" spans="1:12" x14ac:dyDescent="0.3">
      <c r="A7" t="s">
        <v>4</v>
      </c>
      <c r="B7" t="s">
        <v>8</v>
      </c>
      <c r="C7" t="s">
        <v>9</v>
      </c>
      <c r="D7" t="s">
        <v>10</v>
      </c>
      <c r="E7" t="s">
        <v>10</v>
      </c>
      <c r="F7">
        <v>0.468791200000168</v>
      </c>
      <c r="H7">
        <f t="shared" si="0"/>
        <v>1</v>
      </c>
    </row>
    <row r="8" spans="1:12" x14ac:dyDescent="0.3">
      <c r="A8" t="s">
        <v>11</v>
      </c>
      <c r="B8" t="s">
        <v>5</v>
      </c>
      <c r="C8" t="s">
        <v>9</v>
      </c>
      <c r="D8" t="s">
        <v>7</v>
      </c>
      <c r="E8" t="s">
        <v>7</v>
      </c>
      <c r="F8">
        <v>0.42670049999992399</v>
      </c>
      <c r="H8">
        <f t="shared" si="0"/>
        <v>1</v>
      </c>
    </row>
    <row r="9" spans="1:12" x14ac:dyDescent="0.3">
      <c r="A9" t="s">
        <v>4</v>
      </c>
      <c r="B9" t="s">
        <v>8</v>
      </c>
      <c r="C9" t="s">
        <v>9</v>
      </c>
      <c r="D9" t="s">
        <v>10</v>
      </c>
      <c r="E9" t="s">
        <v>7</v>
      </c>
      <c r="F9">
        <v>0.57341169999995101</v>
      </c>
      <c r="H9">
        <f t="shared" si="0"/>
        <v>0</v>
      </c>
    </row>
    <row r="10" spans="1:12" x14ac:dyDescent="0.3">
      <c r="A10" t="s">
        <v>11</v>
      </c>
      <c r="B10" t="s">
        <v>5</v>
      </c>
      <c r="C10" t="s">
        <v>9</v>
      </c>
      <c r="D10" t="s">
        <v>7</v>
      </c>
      <c r="E10" t="s">
        <v>7</v>
      </c>
      <c r="F10">
        <v>0.46060629999988101</v>
      </c>
      <c r="H10">
        <f t="shared" si="0"/>
        <v>1</v>
      </c>
    </row>
    <row r="11" spans="1:12" x14ac:dyDescent="0.3">
      <c r="A11" t="s">
        <v>4</v>
      </c>
      <c r="B11" t="s">
        <v>8</v>
      </c>
      <c r="C11" t="s">
        <v>9</v>
      </c>
      <c r="D11" t="s">
        <v>10</v>
      </c>
      <c r="E11" t="s">
        <v>10</v>
      </c>
      <c r="F11">
        <v>0.43148110000015499</v>
      </c>
      <c r="H11">
        <f t="shared" si="0"/>
        <v>1</v>
      </c>
    </row>
    <row r="12" spans="1:12" x14ac:dyDescent="0.3">
      <c r="A12" t="s">
        <v>11</v>
      </c>
      <c r="B12" t="s">
        <v>5</v>
      </c>
      <c r="C12" t="s">
        <v>9</v>
      </c>
      <c r="D12" t="s">
        <v>7</v>
      </c>
      <c r="E12" t="s">
        <v>7</v>
      </c>
      <c r="F12">
        <v>0.61443340000005198</v>
      </c>
      <c r="H12">
        <f t="shared" si="0"/>
        <v>1</v>
      </c>
    </row>
    <row r="13" spans="1:12" x14ac:dyDescent="0.3">
      <c r="A13" t="s">
        <v>4</v>
      </c>
      <c r="B13" t="s">
        <v>8</v>
      </c>
      <c r="C13" t="s">
        <v>9</v>
      </c>
      <c r="D13" t="s">
        <v>10</v>
      </c>
      <c r="E13" t="s">
        <v>10</v>
      </c>
      <c r="F13">
        <v>0.45227610000006202</v>
      </c>
      <c r="H13">
        <f t="shared" si="0"/>
        <v>1</v>
      </c>
    </row>
    <row r="14" spans="1:12" x14ac:dyDescent="0.3">
      <c r="A14" t="s">
        <v>11</v>
      </c>
      <c r="B14" t="s">
        <v>5</v>
      </c>
      <c r="C14" t="s">
        <v>9</v>
      </c>
      <c r="D14" t="s">
        <v>7</v>
      </c>
      <c r="E14" t="s">
        <v>7</v>
      </c>
      <c r="F14">
        <v>0.42674190000002399</v>
      </c>
      <c r="H14">
        <f t="shared" si="0"/>
        <v>1</v>
      </c>
    </row>
    <row r="15" spans="1:12" x14ac:dyDescent="0.3">
      <c r="A15" t="s">
        <v>4</v>
      </c>
      <c r="B15" t="s">
        <v>8</v>
      </c>
      <c r="C15" t="s">
        <v>9</v>
      </c>
      <c r="D15" t="s">
        <v>10</v>
      </c>
      <c r="E15" t="s">
        <v>10</v>
      </c>
      <c r="F15">
        <v>0.53463749999991705</v>
      </c>
      <c r="H15">
        <f t="shared" si="0"/>
        <v>1</v>
      </c>
    </row>
    <row r="16" spans="1:12" x14ac:dyDescent="0.3">
      <c r="A16" t="s">
        <v>11</v>
      </c>
      <c r="B16" t="s">
        <v>5</v>
      </c>
      <c r="C16" t="s">
        <v>9</v>
      </c>
      <c r="D16" t="s">
        <v>7</v>
      </c>
      <c r="E16" t="s">
        <v>7</v>
      </c>
      <c r="F16">
        <v>0.49039730000004</v>
      </c>
      <c r="H16">
        <f t="shared" si="0"/>
        <v>1</v>
      </c>
    </row>
    <row r="17" spans="1:12" x14ac:dyDescent="0.3">
      <c r="A17" t="s">
        <v>11</v>
      </c>
      <c r="B17" t="s">
        <v>5</v>
      </c>
      <c r="C17" t="s">
        <v>9</v>
      </c>
      <c r="D17" t="s">
        <v>7</v>
      </c>
      <c r="E17" t="s">
        <v>7</v>
      </c>
      <c r="F17">
        <v>0.46765370000002798</v>
      </c>
      <c r="H17">
        <f t="shared" si="0"/>
        <v>1</v>
      </c>
    </row>
    <row r="18" spans="1:12" x14ac:dyDescent="0.3">
      <c r="A18" t="s">
        <v>4</v>
      </c>
      <c r="B18" t="s">
        <v>8</v>
      </c>
      <c r="C18" t="s">
        <v>9</v>
      </c>
      <c r="D18" t="s">
        <v>10</v>
      </c>
      <c r="E18" t="s">
        <v>10</v>
      </c>
      <c r="F18">
        <v>0.44160759999999699</v>
      </c>
      <c r="H18">
        <f t="shared" si="0"/>
        <v>1</v>
      </c>
    </row>
    <row r="19" spans="1:12" x14ac:dyDescent="0.3">
      <c r="A19" t="s">
        <v>11</v>
      </c>
      <c r="B19" t="s">
        <v>5</v>
      </c>
      <c r="C19" t="s">
        <v>9</v>
      </c>
      <c r="D19" t="s">
        <v>7</v>
      </c>
      <c r="E19" t="s">
        <v>7</v>
      </c>
      <c r="F19">
        <v>0.441493799999989</v>
      </c>
      <c r="H19">
        <f t="shared" si="0"/>
        <v>1</v>
      </c>
    </row>
    <row r="20" spans="1:12" x14ac:dyDescent="0.3">
      <c r="A20" t="s">
        <v>4</v>
      </c>
      <c r="B20" t="s">
        <v>8</v>
      </c>
      <c r="C20" t="s">
        <v>9</v>
      </c>
      <c r="D20" t="s">
        <v>10</v>
      </c>
      <c r="E20" t="s">
        <v>10</v>
      </c>
      <c r="F20">
        <v>0.49787119999996299</v>
      </c>
      <c r="H20">
        <f t="shared" si="0"/>
        <v>1</v>
      </c>
    </row>
    <row r="21" spans="1:12" x14ac:dyDescent="0.3">
      <c r="A21" t="s">
        <v>4</v>
      </c>
      <c r="B21" t="s">
        <v>8</v>
      </c>
      <c r="C21" t="s">
        <v>9</v>
      </c>
      <c r="D21" t="s">
        <v>10</v>
      </c>
      <c r="E21" t="s">
        <v>10</v>
      </c>
      <c r="F21">
        <v>0.29934539999999199</v>
      </c>
      <c r="H21">
        <f t="shared" si="0"/>
        <v>1</v>
      </c>
    </row>
    <row r="22" spans="1:12" x14ac:dyDescent="0.3">
      <c r="A22" t="s">
        <v>11</v>
      </c>
      <c r="B22" t="s">
        <v>5</v>
      </c>
      <c r="C22" t="s">
        <v>9</v>
      </c>
      <c r="D22" t="s">
        <v>7</v>
      </c>
      <c r="E22" t="s">
        <v>7</v>
      </c>
      <c r="F22">
        <v>0.28468319999979003</v>
      </c>
      <c r="H22">
        <f t="shared" si="0"/>
        <v>1</v>
      </c>
    </row>
    <row r="23" spans="1:12" x14ac:dyDescent="0.3">
      <c r="E23" t="s">
        <v>22</v>
      </c>
      <c r="F23">
        <f>AVERAGE(F3:F22)</f>
        <v>0.48034231000000266</v>
      </c>
      <c r="G23" t="s">
        <v>16</v>
      </c>
      <c r="H23">
        <f>SUM(H3:H22)</f>
        <v>19</v>
      </c>
      <c r="I23" t="s">
        <v>19</v>
      </c>
      <c r="J23">
        <f>(COUNT(H3:H22))-H23</f>
        <v>1</v>
      </c>
    </row>
    <row r="25" spans="1:12" x14ac:dyDescent="0.3">
      <c r="A25" s="1" t="s">
        <v>15</v>
      </c>
      <c r="B25" s="1"/>
    </row>
    <row r="26" spans="1:12" x14ac:dyDescent="0.3">
      <c r="A26" t="s">
        <v>0</v>
      </c>
      <c r="B26" t="s">
        <v>1</v>
      </c>
      <c r="C26" t="s">
        <v>2</v>
      </c>
      <c r="D26" t="s">
        <v>3</v>
      </c>
      <c r="E26" t="s">
        <v>12</v>
      </c>
      <c r="F26" t="s">
        <v>13</v>
      </c>
      <c r="H26" t="s">
        <v>18</v>
      </c>
    </row>
    <row r="27" spans="1:12" x14ac:dyDescent="0.3">
      <c r="A27" t="s">
        <v>4</v>
      </c>
      <c r="B27" t="s">
        <v>5</v>
      </c>
      <c r="C27" t="s">
        <v>6</v>
      </c>
      <c r="D27" t="s">
        <v>7</v>
      </c>
      <c r="E27" t="s">
        <v>7</v>
      </c>
      <c r="F27">
        <v>1.9798258000000699</v>
      </c>
      <c r="H27">
        <f>IF(D27=E27,1,0)</f>
        <v>1</v>
      </c>
      <c r="K27" t="s">
        <v>20</v>
      </c>
      <c r="L27" t="s">
        <v>21</v>
      </c>
    </row>
    <row r="28" spans="1:12" x14ac:dyDescent="0.3">
      <c r="A28" t="s">
        <v>11</v>
      </c>
      <c r="B28" t="s">
        <v>8</v>
      </c>
      <c r="C28" t="s">
        <v>6</v>
      </c>
      <c r="D28" t="s">
        <v>10</v>
      </c>
      <c r="E28" t="s">
        <v>7</v>
      </c>
      <c r="F28">
        <v>0.61131199999999797</v>
      </c>
      <c r="H28">
        <f t="shared" ref="H28:H46" si="1">IF(D28=E28,1,0)</f>
        <v>0</v>
      </c>
      <c r="K28">
        <v>17</v>
      </c>
      <c r="L28">
        <v>3</v>
      </c>
    </row>
    <row r="29" spans="1:12" x14ac:dyDescent="0.3">
      <c r="A29" t="s">
        <v>11</v>
      </c>
      <c r="B29" t="s">
        <v>8</v>
      </c>
      <c r="C29" t="s">
        <v>6</v>
      </c>
      <c r="D29" t="s">
        <v>10</v>
      </c>
      <c r="E29" t="s">
        <v>10</v>
      </c>
      <c r="F29">
        <v>0.642236999999795</v>
      </c>
      <c r="H29">
        <f t="shared" si="1"/>
        <v>1</v>
      </c>
    </row>
    <row r="30" spans="1:12" x14ac:dyDescent="0.3">
      <c r="A30" t="s">
        <v>4</v>
      </c>
      <c r="B30" t="s">
        <v>5</v>
      </c>
      <c r="C30" t="s">
        <v>6</v>
      </c>
      <c r="D30" t="s">
        <v>7</v>
      </c>
      <c r="E30" t="s">
        <v>7</v>
      </c>
      <c r="F30">
        <v>1.0506854000000201</v>
      </c>
      <c r="H30">
        <f t="shared" si="1"/>
        <v>1</v>
      </c>
    </row>
    <row r="31" spans="1:12" x14ac:dyDescent="0.3">
      <c r="A31" t="s">
        <v>4</v>
      </c>
      <c r="B31" t="s">
        <v>5</v>
      </c>
      <c r="C31" t="s">
        <v>6</v>
      </c>
      <c r="D31" t="s">
        <v>7</v>
      </c>
      <c r="E31" t="s">
        <v>7</v>
      </c>
      <c r="F31">
        <v>0.43470249999995703</v>
      </c>
      <c r="H31">
        <f t="shared" si="1"/>
        <v>1</v>
      </c>
    </row>
    <row r="32" spans="1:12" x14ac:dyDescent="0.3">
      <c r="A32" t="s">
        <v>11</v>
      </c>
      <c r="B32" t="s">
        <v>8</v>
      </c>
      <c r="C32" t="s">
        <v>6</v>
      </c>
      <c r="D32" t="s">
        <v>10</v>
      </c>
      <c r="E32" t="s">
        <v>10</v>
      </c>
      <c r="F32">
        <v>0.80191190000004997</v>
      </c>
      <c r="H32">
        <f t="shared" si="1"/>
        <v>1</v>
      </c>
    </row>
    <row r="33" spans="1:10" x14ac:dyDescent="0.3">
      <c r="A33" t="s">
        <v>11</v>
      </c>
      <c r="B33" t="s">
        <v>8</v>
      </c>
      <c r="C33" t="s">
        <v>6</v>
      </c>
      <c r="D33" t="s">
        <v>10</v>
      </c>
      <c r="E33" t="s">
        <v>10</v>
      </c>
      <c r="F33">
        <v>0.46690499999999702</v>
      </c>
      <c r="H33">
        <f t="shared" si="1"/>
        <v>1</v>
      </c>
    </row>
    <row r="34" spans="1:10" x14ac:dyDescent="0.3">
      <c r="A34" t="s">
        <v>4</v>
      </c>
      <c r="B34" t="s">
        <v>5</v>
      </c>
      <c r="C34" t="s">
        <v>6</v>
      </c>
      <c r="D34" t="s">
        <v>7</v>
      </c>
      <c r="E34" t="s">
        <v>7</v>
      </c>
      <c r="F34">
        <v>0.36392099999989103</v>
      </c>
      <c r="H34">
        <f t="shared" si="1"/>
        <v>1</v>
      </c>
    </row>
    <row r="35" spans="1:10" x14ac:dyDescent="0.3">
      <c r="A35" t="s">
        <v>11</v>
      </c>
      <c r="B35" t="s">
        <v>8</v>
      </c>
      <c r="C35" t="s">
        <v>6</v>
      </c>
      <c r="D35" t="s">
        <v>10</v>
      </c>
      <c r="E35" t="s">
        <v>7</v>
      </c>
      <c r="F35">
        <v>0.80073990000005302</v>
      </c>
      <c r="H35">
        <f t="shared" si="1"/>
        <v>0</v>
      </c>
    </row>
    <row r="36" spans="1:10" x14ac:dyDescent="0.3">
      <c r="A36" t="s">
        <v>4</v>
      </c>
      <c r="B36" t="s">
        <v>5</v>
      </c>
      <c r="C36" t="s">
        <v>6</v>
      </c>
      <c r="D36" t="s">
        <v>7</v>
      </c>
      <c r="E36" t="s">
        <v>7</v>
      </c>
      <c r="F36">
        <v>0.95470180000006599</v>
      </c>
      <c r="H36">
        <f t="shared" si="1"/>
        <v>1</v>
      </c>
    </row>
    <row r="37" spans="1:10" x14ac:dyDescent="0.3">
      <c r="A37" t="s">
        <v>4</v>
      </c>
      <c r="B37" t="s">
        <v>5</v>
      </c>
      <c r="C37" t="s">
        <v>6</v>
      </c>
      <c r="D37" t="s">
        <v>7</v>
      </c>
      <c r="E37" t="s">
        <v>7</v>
      </c>
      <c r="F37">
        <v>0.37919609999994403</v>
      </c>
      <c r="H37">
        <f t="shared" si="1"/>
        <v>1</v>
      </c>
    </row>
    <row r="38" spans="1:10" x14ac:dyDescent="0.3">
      <c r="A38" t="s">
        <v>11</v>
      </c>
      <c r="B38" t="s">
        <v>8</v>
      </c>
      <c r="C38" t="s">
        <v>6</v>
      </c>
      <c r="D38" t="s">
        <v>10</v>
      </c>
      <c r="E38" t="s">
        <v>10</v>
      </c>
      <c r="F38">
        <v>0.33431389999986999</v>
      </c>
      <c r="H38">
        <f t="shared" si="1"/>
        <v>1</v>
      </c>
    </row>
    <row r="39" spans="1:10" x14ac:dyDescent="0.3">
      <c r="A39" t="s">
        <v>11</v>
      </c>
      <c r="B39" t="s">
        <v>8</v>
      </c>
      <c r="C39" t="s">
        <v>6</v>
      </c>
      <c r="D39" t="s">
        <v>10</v>
      </c>
      <c r="E39" t="s">
        <v>7</v>
      </c>
      <c r="F39">
        <v>0.43871329999978997</v>
      </c>
      <c r="H39">
        <f t="shared" si="1"/>
        <v>0</v>
      </c>
    </row>
    <row r="40" spans="1:10" x14ac:dyDescent="0.3">
      <c r="A40" t="s">
        <v>4</v>
      </c>
      <c r="B40" t="s">
        <v>5</v>
      </c>
      <c r="C40" t="s">
        <v>6</v>
      </c>
      <c r="D40" t="s">
        <v>7</v>
      </c>
      <c r="E40" t="s">
        <v>7</v>
      </c>
      <c r="F40">
        <v>0.72081240000011304</v>
      </c>
      <c r="H40">
        <f t="shared" si="1"/>
        <v>1</v>
      </c>
    </row>
    <row r="41" spans="1:10" x14ac:dyDescent="0.3">
      <c r="A41" t="s">
        <v>4</v>
      </c>
      <c r="B41" t="s">
        <v>5</v>
      </c>
      <c r="C41" t="s">
        <v>6</v>
      </c>
      <c r="D41" t="s">
        <v>7</v>
      </c>
      <c r="E41" t="s">
        <v>7</v>
      </c>
      <c r="F41">
        <v>0.79872139999997604</v>
      </c>
      <c r="H41">
        <f t="shared" si="1"/>
        <v>1</v>
      </c>
    </row>
    <row r="42" spans="1:10" x14ac:dyDescent="0.3">
      <c r="A42" t="s">
        <v>11</v>
      </c>
      <c r="B42" t="s">
        <v>8</v>
      </c>
      <c r="C42" t="s">
        <v>6</v>
      </c>
      <c r="D42" t="s">
        <v>10</v>
      </c>
      <c r="E42" t="s">
        <v>10</v>
      </c>
      <c r="F42">
        <v>0.92220240000006004</v>
      </c>
      <c r="H42">
        <f t="shared" si="1"/>
        <v>1</v>
      </c>
    </row>
    <row r="43" spans="1:10" x14ac:dyDescent="0.3">
      <c r="A43" t="s">
        <v>4</v>
      </c>
      <c r="B43" t="s">
        <v>5</v>
      </c>
      <c r="C43" t="s">
        <v>6</v>
      </c>
      <c r="D43" t="s">
        <v>7</v>
      </c>
      <c r="E43" t="s">
        <v>7</v>
      </c>
      <c r="F43">
        <v>0.41670599999997598</v>
      </c>
      <c r="H43">
        <f t="shared" si="1"/>
        <v>1</v>
      </c>
    </row>
    <row r="44" spans="1:10" x14ac:dyDescent="0.3">
      <c r="A44" t="s">
        <v>11</v>
      </c>
      <c r="B44" t="s">
        <v>8</v>
      </c>
      <c r="C44" t="s">
        <v>6</v>
      </c>
      <c r="D44" t="s">
        <v>10</v>
      </c>
      <c r="E44" t="s">
        <v>10</v>
      </c>
      <c r="F44">
        <v>0.56224889999998595</v>
      </c>
      <c r="H44">
        <f t="shared" si="1"/>
        <v>1</v>
      </c>
    </row>
    <row r="45" spans="1:10" x14ac:dyDescent="0.3">
      <c r="A45" t="s">
        <v>11</v>
      </c>
      <c r="B45" t="s">
        <v>8</v>
      </c>
      <c r="C45" t="s">
        <v>6</v>
      </c>
      <c r="D45" t="s">
        <v>10</v>
      </c>
      <c r="E45" t="s">
        <v>10</v>
      </c>
      <c r="F45">
        <v>0.33731420000003698</v>
      </c>
      <c r="H45">
        <f t="shared" si="1"/>
        <v>1</v>
      </c>
    </row>
    <row r="46" spans="1:10" x14ac:dyDescent="0.3">
      <c r="A46" t="s">
        <v>4</v>
      </c>
      <c r="B46" t="s">
        <v>5</v>
      </c>
      <c r="C46" t="s">
        <v>6</v>
      </c>
      <c r="D46" t="s">
        <v>7</v>
      </c>
      <c r="E46" t="s">
        <v>7</v>
      </c>
      <c r="F46">
        <v>0.27051009999990999</v>
      </c>
      <c r="H46">
        <f t="shared" si="1"/>
        <v>1</v>
      </c>
    </row>
    <row r="47" spans="1:10" x14ac:dyDescent="0.3">
      <c r="E47" t="s">
        <v>22</v>
      </c>
      <c r="F47">
        <f>AVERAGE(F27:F46)</f>
        <v>0.66438404999997813</v>
      </c>
      <c r="G47" t="s">
        <v>16</v>
      </c>
      <c r="H47">
        <f>SUM(H27:H46)</f>
        <v>17</v>
      </c>
      <c r="I47" t="s">
        <v>19</v>
      </c>
      <c r="J47">
        <f>(COUNT(H27:H46))-H47</f>
        <v>3</v>
      </c>
    </row>
    <row r="49" spans="2:4" x14ac:dyDescent="0.3">
      <c r="C49" t="s">
        <v>25</v>
      </c>
      <c r="D49" t="s">
        <v>26</v>
      </c>
    </row>
    <row r="50" spans="2:4" x14ac:dyDescent="0.3">
      <c r="B50" t="s">
        <v>24</v>
      </c>
      <c r="C50">
        <f>AVERAGE(F3:F22)</f>
        <v>0.48034231000000266</v>
      </c>
      <c r="D50">
        <f>AVERAGE(F27:F46)</f>
        <v>0.66438404999997813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083E-9A4C-4DAC-8015-9165F1B05373}">
  <dimension ref="A1:K42"/>
  <sheetViews>
    <sheetView topLeftCell="I1" workbookViewId="0">
      <pane ySplit="1" topLeftCell="A2" activePane="bottomLeft" state="frozen"/>
      <selection pane="bottomLeft" activeCell="L38" sqref="L38"/>
    </sheetView>
  </sheetViews>
  <sheetFormatPr defaultRowHeight="14.4" x14ac:dyDescent="0.3"/>
  <cols>
    <col min="3" max="3" width="18.6640625" bestFit="1" customWidth="1"/>
    <col min="4" max="4" width="11.33203125" bestFit="1" customWidth="1"/>
    <col min="5" max="5" width="12.33203125" bestFit="1" customWidth="1"/>
    <col min="6" max="6" width="11" bestFit="1" customWidth="1"/>
    <col min="8" max="8" width="19.88671875" bestFit="1" customWidth="1"/>
    <col min="9" max="9" width="13.88671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H1" t="s">
        <v>18</v>
      </c>
    </row>
    <row r="2" spans="1:11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7</v>
      </c>
      <c r="F2" s="3">
        <v>1.9798258000000699</v>
      </c>
      <c r="H2">
        <f>IF(D2=E2,1,0)</f>
        <v>1</v>
      </c>
      <c r="I2" t="str">
        <f>IF(H2=1,"correct", "incorrect")</f>
        <v>correct</v>
      </c>
      <c r="J2" t="s">
        <v>20</v>
      </c>
      <c r="K2" t="s">
        <v>21</v>
      </c>
    </row>
    <row r="3" spans="1:11" x14ac:dyDescent="0.3">
      <c r="A3" s="3" t="s">
        <v>4</v>
      </c>
      <c r="B3" s="3" t="s">
        <v>8</v>
      </c>
      <c r="C3" s="3" t="s">
        <v>9</v>
      </c>
      <c r="D3" s="3" t="s">
        <v>10</v>
      </c>
      <c r="E3" s="3" t="s">
        <v>10</v>
      </c>
      <c r="F3" s="3">
        <v>0.68677720000005105</v>
      </c>
      <c r="H3">
        <f t="shared" ref="H3:H41" si="0">IF(D3=E3,1,0)</f>
        <v>1</v>
      </c>
      <c r="I3" t="str">
        <f t="shared" ref="I3:I41" si="1">IF(H3=1,"correct", "incorrect")</f>
        <v>correct</v>
      </c>
      <c r="J3">
        <v>36</v>
      </c>
      <c r="K3">
        <v>4</v>
      </c>
    </row>
    <row r="4" spans="1:11" x14ac:dyDescent="0.3">
      <c r="A4" s="3" t="s">
        <v>11</v>
      </c>
      <c r="B4" s="3" t="s">
        <v>8</v>
      </c>
      <c r="C4" s="3" t="s">
        <v>6</v>
      </c>
      <c r="D4" s="3" t="s">
        <v>10</v>
      </c>
      <c r="E4" s="3" t="s">
        <v>7</v>
      </c>
      <c r="F4" s="3">
        <v>0.61131199999999797</v>
      </c>
      <c r="H4">
        <f t="shared" si="0"/>
        <v>0</v>
      </c>
      <c r="I4" t="str">
        <f t="shared" si="1"/>
        <v>incorrect</v>
      </c>
    </row>
    <row r="5" spans="1:11" x14ac:dyDescent="0.3">
      <c r="A5" s="3" t="s">
        <v>11</v>
      </c>
      <c r="B5" s="3" t="s">
        <v>5</v>
      </c>
      <c r="C5" s="3" t="s">
        <v>9</v>
      </c>
      <c r="D5" s="3" t="s">
        <v>7</v>
      </c>
      <c r="E5" s="3" t="s">
        <v>7</v>
      </c>
      <c r="F5" s="3">
        <v>0.55344790000003696</v>
      </c>
      <c r="H5">
        <f>IF(D5=E5,1,0)</f>
        <v>1</v>
      </c>
      <c r="I5" t="str">
        <f t="shared" si="1"/>
        <v>correct</v>
      </c>
    </row>
    <row r="6" spans="1:11" x14ac:dyDescent="0.3">
      <c r="A6" s="3" t="s">
        <v>11</v>
      </c>
      <c r="B6" s="3" t="s">
        <v>8</v>
      </c>
      <c r="C6" s="3" t="s">
        <v>6</v>
      </c>
      <c r="D6" s="3" t="s">
        <v>10</v>
      </c>
      <c r="E6" s="3" t="s">
        <v>10</v>
      </c>
      <c r="F6" s="3">
        <v>0.642236999999795</v>
      </c>
      <c r="H6">
        <f t="shared" si="0"/>
        <v>1</v>
      </c>
      <c r="I6" t="str">
        <f t="shared" si="1"/>
        <v>correct</v>
      </c>
    </row>
    <row r="7" spans="1:11" x14ac:dyDescent="0.3">
      <c r="A7" s="3" t="s">
        <v>11</v>
      </c>
      <c r="B7" s="3" t="s">
        <v>5</v>
      </c>
      <c r="C7" s="3" t="s">
        <v>9</v>
      </c>
      <c r="D7" s="3" t="s">
        <v>7</v>
      </c>
      <c r="E7" s="3" t="s">
        <v>7</v>
      </c>
      <c r="F7" s="3">
        <v>0.62119770000003804</v>
      </c>
      <c r="H7">
        <f t="shared" si="0"/>
        <v>1</v>
      </c>
      <c r="I7" t="str">
        <f t="shared" si="1"/>
        <v>correct</v>
      </c>
    </row>
    <row r="8" spans="1:11" x14ac:dyDescent="0.3">
      <c r="A8" s="3" t="s">
        <v>4</v>
      </c>
      <c r="B8" s="3" t="s">
        <v>8</v>
      </c>
      <c r="C8" s="3" t="s">
        <v>9</v>
      </c>
      <c r="D8" s="3" t="s">
        <v>10</v>
      </c>
      <c r="E8" s="3" t="s">
        <v>10</v>
      </c>
      <c r="F8" s="3">
        <v>0.433291499999995</v>
      </c>
      <c r="H8">
        <f t="shared" si="0"/>
        <v>1</v>
      </c>
      <c r="I8" t="str">
        <f t="shared" si="1"/>
        <v>correct</v>
      </c>
    </row>
    <row r="9" spans="1:11" x14ac:dyDescent="0.3">
      <c r="A9" s="3" t="s">
        <v>4</v>
      </c>
      <c r="B9" s="3" t="s">
        <v>5</v>
      </c>
      <c r="C9" s="3" t="s">
        <v>6</v>
      </c>
      <c r="D9" s="3" t="s">
        <v>7</v>
      </c>
      <c r="E9" s="3" t="s">
        <v>7</v>
      </c>
      <c r="F9" s="3">
        <v>1.0506854000000201</v>
      </c>
      <c r="H9">
        <f t="shared" si="0"/>
        <v>1</v>
      </c>
      <c r="I9" t="str">
        <f t="shared" si="1"/>
        <v>correct</v>
      </c>
    </row>
    <row r="10" spans="1:11" x14ac:dyDescent="0.3">
      <c r="A10" s="3" t="s">
        <v>4</v>
      </c>
      <c r="B10" s="3" t="s">
        <v>5</v>
      </c>
      <c r="C10" s="3" t="s">
        <v>6</v>
      </c>
      <c r="D10" s="3" t="s">
        <v>7</v>
      </c>
      <c r="E10" s="3" t="s">
        <v>7</v>
      </c>
      <c r="F10" s="3">
        <v>0.43470249999995703</v>
      </c>
      <c r="H10">
        <f t="shared" si="0"/>
        <v>1</v>
      </c>
      <c r="I10" t="str">
        <f t="shared" si="1"/>
        <v>correct</v>
      </c>
    </row>
    <row r="11" spans="1:11" x14ac:dyDescent="0.3">
      <c r="A11" s="3" t="s">
        <v>4</v>
      </c>
      <c r="B11" s="3" t="s">
        <v>8</v>
      </c>
      <c r="C11" s="3" t="s">
        <v>9</v>
      </c>
      <c r="D11" s="3" t="s">
        <v>10</v>
      </c>
      <c r="E11" s="3" t="s">
        <v>10</v>
      </c>
      <c r="F11" s="3">
        <v>0.468791200000168</v>
      </c>
      <c r="H11">
        <f t="shared" si="0"/>
        <v>1</v>
      </c>
      <c r="I11" t="str">
        <f t="shared" si="1"/>
        <v>correct</v>
      </c>
    </row>
    <row r="12" spans="1:11" x14ac:dyDescent="0.3">
      <c r="A12" s="3" t="s">
        <v>11</v>
      </c>
      <c r="B12" s="3" t="s">
        <v>8</v>
      </c>
      <c r="C12" s="3" t="s">
        <v>6</v>
      </c>
      <c r="D12" s="3" t="s">
        <v>10</v>
      </c>
      <c r="E12" s="3" t="s">
        <v>10</v>
      </c>
      <c r="F12" s="3">
        <v>0.80191190000004997</v>
      </c>
      <c r="H12">
        <f t="shared" si="0"/>
        <v>1</v>
      </c>
      <c r="I12" t="str">
        <f t="shared" si="1"/>
        <v>correct</v>
      </c>
    </row>
    <row r="13" spans="1:11" x14ac:dyDescent="0.3">
      <c r="A13" s="3" t="s">
        <v>11</v>
      </c>
      <c r="B13" s="3" t="s">
        <v>5</v>
      </c>
      <c r="C13" s="3" t="s">
        <v>9</v>
      </c>
      <c r="D13" s="3" t="s">
        <v>7</v>
      </c>
      <c r="E13" s="3" t="s">
        <v>7</v>
      </c>
      <c r="F13" s="3">
        <v>0.42670049999992399</v>
      </c>
      <c r="H13">
        <f t="shared" si="0"/>
        <v>1</v>
      </c>
      <c r="I13" t="str">
        <f t="shared" si="1"/>
        <v>correct</v>
      </c>
    </row>
    <row r="14" spans="1:11" x14ac:dyDescent="0.3">
      <c r="A14" s="3" t="s">
        <v>11</v>
      </c>
      <c r="B14" s="3" t="s">
        <v>8</v>
      </c>
      <c r="C14" s="3" t="s">
        <v>6</v>
      </c>
      <c r="D14" s="3" t="s">
        <v>10</v>
      </c>
      <c r="E14" s="3" t="s">
        <v>10</v>
      </c>
      <c r="F14" s="3">
        <v>0.46690499999999702</v>
      </c>
      <c r="H14">
        <f t="shared" si="0"/>
        <v>1</v>
      </c>
      <c r="I14" t="str">
        <f t="shared" si="1"/>
        <v>correct</v>
      </c>
    </row>
    <row r="15" spans="1:11" x14ac:dyDescent="0.3">
      <c r="A15" s="3" t="s">
        <v>4</v>
      </c>
      <c r="B15" s="3" t="s">
        <v>5</v>
      </c>
      <c r="C15" s="3" t="s">
        <v>6</v>
      </c>
      <c r="D15" s="3" t="s">
        <v>7</v>
      </c>
      <c r="E15" s="3" t="s">
        <v>7</v>
      </c>
      <c r="F15" s="3">
        <v>0.36392099999989103</v>
      </c>
      <c r="H15">
        <f t="shared" si="0"/>
        <v>1</v>
      </c>
      <c r="I15" t="str">
        <f t="shared" si="1"/>
        <v>correct</v>
      </c>
    </row>
    <row r="16" spans="1:11" x14ac:dyDescent="0.3">
      <c r="A16" s="3" t="s">
        <v>4</v>
      </c>
      <c r="B16" s="3" t="s">
        <v>8</v>
      </c>
      <c r="C16" s="3" t="s">
        <v>9</v>
      </c>
      <c r="D16" s="3" t="s">
        <v>10</v>
      </c>
      <c r="E16" s="3" t="s">
        <v>7</v>
      </c>
      <c r="F16" s="3">
        <v>0.57341169999995101</v>
      </c>
      <c r="H16">
        <f t="shared" si="0"/>
        <v>0</v>
      </c>
      <c r="I16" t="str">
        <f t="shared" si="1"/>
        <v>incorrect</v>
      </c>
    </row>
    <row r="17" spans="1:9" x14ac:dyDescent="0.3">
      <c r="A17" s="3" t="s">
        <v>11</v>
      </c>
      <c r="B17" s="3" t="s">
        <v>5</v>
      </c>
      <c r="C17" s="3" t="s">
        <v>9</v>
      </c>
      <c r="D17" s="3" t="s">
        <v>7</v>
      </c>
      <c r="E17" s="3" t="s">
        <v>7</v>
      </c>
      <c r="F17" s="3">
        <v>0.46060629999988101</v>
      </c>
      <c r="H17">
        <f t="shared" si="0"/>
        <v>1</v>
      </c>
      <c r="I17" t="str">
        <f t="shared" si="1"/>
        <v>correct</v>
      </c>
    </row>
    <row r="18" spans="1:9" x14ac:dyDescent="0.3">
      <c r="A18" s="3" t="s">
        <v>4</v>
      </c>
      <c r="B18" s="3" t="s">
        <v>8</v>
      </c>
      <c r="C18" s="3" t="s">
        <v>9</v>
      </c>
      <c r="D18" s="3" t="s">
        <v>10</v>
      </c>
      <c r="E18" s="3" t="s">
        <v>10</v>
      </c>
      <c r="F18" s="3">
        <v>0.43148110000015499</v>
      </c>
      <c r="H18">
        <f t="shared" si="0"/>
        <v>1</v>
      </c>
      <c r="I18" t="str">
        <f t="shared" si="1"/>
        <v>correct</v>
      </c>
    </row>
    <row r="19" spans="1:9" x14ac:dyDescent="0.3">
      <c r="A19" s="3" t="s">
        <v>11</v>
      </c>
      <c r="B19" s="3" t="s">
        <v>8</v>
      </c>
      <c r="C19" s="3" t="s">
        <v>6</v>
      </c>
      <c r="D19" s="3" t="s">
        <v>10</v>
      </c>
      <c r="E19" s="3" t="s">
        <v>7</v>
      </c>
      <c r="F19" s="3">
        <v>0.80073990000005302</v>
      </c>
      <c r="H19">
        <f t="shared" si="0"/>
        <v>0</v>
      </c>
      <c r="I19" t="str">
        <f t="shared" si="1"/>
        <v>incorrect</v>
      </c>
    </row>
    <row r="20" spans="1:9" x14ac:dyDescent="0.3">
      <c r="A20" s="3" t="s">
        <v>11</v>
      </c>
      <c r="B20" s="3" t="s">
        <v>5</v>
      </c>
      <c r="C20" s="3" t="s">
        <v>9</v>
      </c>
      <c r="D20" s="3" t="s">
        <v>7</v>
      </c>
      <c r="E20" s="3" t="s">
        <v>7</v>
      </c>
      <c r="F20" s="3">
        <v>0.61443340000005198</v>
      </c>
      <c r="H20">
        <f t="shared" si="0"/>
        <v>1</v>
      </c>
      <c r="I20" t="str">
        <f t="shared" si="1"/>
        <v>correct</v>
      </c>
    </row>
    <row r="21" spans="1:9" x14ac:dyDescent="0.3">
      <c r="A21" s="3" t="s">
        <v>4</v>
      </c>
      <c r="B21" s="3" t="s">
        <v>5</v>
      </c>
      <c r="C21" s="3" t="s">
        <v>6</v>
      </c>
      <c r="D21" s="3" t="s">
        <v>7</v>
      </c>
      <c r="E21" s="3" t="s">
        <v>7</v>
      </c>
      <c r="F21" s="3">
        <v>0.95470180000006599</v>
      </c>
      <c r="H21">
        <f t="shared" si="0"/>
        <v>1</v>
      </c>
      <c r="I21" t="str">
        <f t="shared" si="1"/>
        <v>correct</v>
      </c>
    </row>
    <row r="22" spans="1:9" x14ac:dyDescent="0.3">
      <c r="A22" s="3" t="s">
        <v>4</v>
      </c>
      <c r="B22" s="3" t="s">
        <v>5</v>
      </c>
      <c r="C22" s="3" t="s">
        <v>6</v>
      </c>
      <c r="D22" s="3" t="s">
        <v>7</v>
      </c>
      <c r="E22" s="3" t="s">
        <v>7</v>
      </c>
      <c r="F22" s="3">
        <v>0.37919609999994403</v>
      </c>
      <c r="H22">
        <f t="shared" si="0"/>
        <v>1</v>
      </c>
      <c r="I22" t="str">
        <f t="shared" si="1"/>
        <v>correct</v>
      </c>
    </row>
    <row r="23" spans="1:9" x14ac:dyDescent="0.3">
      <c r="A23" s="3" t="s">
        <v>4</v>
      </c>
      <c r="B23" s="3" t="s">
        <v>8</v>
      </c>
      <c r="C23" s="3" t="s">
        <v>9</v>
      </c>
      <c r="D23" s="3" t="s">
        <v>10</v>
      </c>
      <c r="E23" s="3" t="s">
        <v>10</v>
      </c>
      <c r="F23" s="3">
        <v>0.45227610000006202</v>
      </c>
      <c r="H23">
        <f t="shared" si="0"/>
        <v>1</v>
      </c>
      <c r="I23" t="str">
        <f t="shared" si="1"/>
        <v>correct</v>
      </c>
    </row>
    <row r="24" spans="1:9" x14ac:dyDescent="0.3">
      <c r="A24" s="3" t="s">
        <v>11</v>
      </c>
      <c r="B24" s="3" t="s">
        <v>8</v>
      </c>
      <c r="C24" s="3" t="s">
        <v>6</v>
      </c>
      <c r="D24" s="3" t="s">
        <v>10</v>
      </c>
      <c r="E24" s="3" t="s">
        <v>10</v>
      </c>
      <c r="F24" s="3">
        <v>0.33431389999986999</v>
      </c>
      <c r="H24">
        <f t="shared" si="0"/>
        <v>1</v>
      </c>
      <c r="I24" t="str">
        <f t="shared" si="1"/>
        <v>correct</v>
      </c>
    </row>
    <row r="25" spans="1:9" x14ac:dyDescent="0.3">
      <c r="A25" s="3" t="s">
        <v>11</v>
      </c>
      <c r="B25" s="3" t="s">
        <v>5</v>
      </c>
      <c r="C25" s="3" t="s">
        <v>9</v>
      </c>
      <c r="D25" s="3" t="s">
        <v>7</v>
      </c>
      <c r="E25" s="3" t="s">
        <v>7</v>
      </c>
      <c r="F25" s="3">
        <v>0.42674190000002399</v>
      </c>
      <c r="H25">
        <f t="shared" si="0"/>
        <v>1</v>
      </c>
      <c r="I25" t="str">
        <f t="shared" si="1"/>
        <v>correct</v>
      </c>
    </row>
    <row r="26" spans="1:9" x14ac:dyDescent="0.3">
      <c r="A26" s="3" t="s">
        <v>11</v>
      </c>
      <c r="B26" s="3" t="s">
        <v>8</v>
      </c>
      <c r="C26" s="3" t="s">
        <v>6</v>
      </c>
      <c r="D26" s="3" t="s">
        <v>10</v>
      </c>
      <c r="E26" s="3" t="s">
        <v>7</v>
      </c>
      <c r="F26" s="3">
        <v>0.43871329999978997</v>
      </c>
      <c r="H26">
        <f t="shared" si="0"/>
        <v>0</v>
      </c>
      <c r="I26" t="str">
        <f t="shared" si="1"/>
        <v>incorrect</v>
      </c>
    </row>
    <row r="27" spans="1:9" x14ac:dyDescent="0.3">
      <c r="A27" s="3" t="s">
        <v>4</v>
      </c>
      <c r="B27" s="3" t="s">
        <v>8</v>
      </c>
      <c r="C27" s="3" t="s">
        <v>9</v>
      </c>
      <c r="D27" s="3" t="s">
        <v>10</v>
      </c>
      <c r="E27" s="3" t="s">
        <v>10</v>
      </c>
      <c r="F27" s="3">
        <v>0.53463749999991705</v>
      </c>
      <c r="H27">
        <f t="shared" si="0"/>
        <v>1</v>
      </c>
      <c r="I27" t="str">
        <f t="shared" si="1"/>
        <v>correct</v>
      </c>
    </row>
    <row r="28" spans="1:9" x14ac:dyDescent="0.3">
      <c r="A28" s="3" t="s">
        <v>4</v>
      </c>
      <c r="B28" s="3" t="s">
        <v>5</v>
      </c>
      <c r="C28" s="3" t="s">
        <v>6</v>
      </c>
      <c r="D28" s="3" t="s">
        <v>7</v>
      </c>
      <c r="E28" s="3" t="s">
        <v>7</v>
      </c>
      <c r="F28" s="3">
        <v>0.72081240000011304</v>
      </c>
      <c r="H28">
        <f t="shared" si="0"/>
        <v>1</v>
      </c>
      <c r="I28" t="str">
        <f t="shared" si="1"/>
        <v>correct</v>
      </c>
    </row>
    <row r="29" spans="1:9" x14ac:dyDescent="0.3">
      <c r="A29" s="3" t="s">
        <v>11</v>
      </c>
      <c r="B29" s="3" t="s">
        <v>5</v>
      </c>
      <c r="C29" s="3" t="s">
        <v>9</v>
      </c>
      <c r="D29" s="3" t="s">
        <v>7</v>
      </c>
      <c r="E29" s="3" t="s">
        <v>7</v>
      </c>
      <c r="F29" s="3">
        <v>0.49039730000004</v>
      </c>
      <c r="H29">
        <f t="shared" si="0"/>
        <v>1</v>
      </c>
      <c r="I29" t="str">
        <f t="shared" si="1"/>
        <v>correct</v>
      </c>
    </row>
    <row r="30" spans="1:9" x14ac:dyDescent="0.3">
      <c r="A30" s="3" t="s">
        <v>11</v>
      </c>
      <c r="B30" s="3" t="s">
        <v>5</v>
      </c>
      <c r="C30" s="3" t="s">
        <v>9</v>
      </c>
      <c r="D30" s="3" t="s">
        <v>7</v>
      </c>
      <c r="E30" s="3" t="s">
        <v>7</v>
      </c>
      <c r="F30" s="3">
        <v>0.46765370000002798</v>
      </c>
      <c r="H30">
        <f t="shared" si="0"/>
        <v>1</v>
      </c>
      <c r="I30" t="str">
        <f t="shared" si="1"/>
        <v>correct</v>
      </c>
    </row>
    <row r="31" spans="1:9" x14ac:dyDescent="0.3">
      <c r="A31" s="3" t="s">
        <v>4</v>
      </c>
      <c r="B31" s="3" t="s">
        <v>8</v>
      </c>
      <c r="C31" s="3" t="s">
        <v>9</v>
      </c>
      <c r="D31" s="3" t="s">
        <v>10</v>
      </c>
      <c r="E31" s="3" t="s">
        <v>10</v>
      </c>
      <c r="F31" s="3">
        <v>0.44160759999999699</v>
      </c>
      <c r="H31">
        <f t="shared" si="0"/>
        <v>1</v>
      </c>
      <c r="I31" t="str">
        <f t="shared" si="1"/>
        <v>correct</v>
      </c>
    </row>
    <row r="32" spans="1:9" x14ac:dyDescent="0.3">
      <c r="A32" s="3" t="s">
        <v>4</v>
      </c>
      <c r="B32" s="3" t="s">
        <v>5</v>
      </c>
      <c r="C32" s="3" t="s">
        <v>6</v>
      </c>
      <c r="D32" s="3" t="s">
        <v>7</v>
      </c>
      <c r="E32" s="3" t="s">
        <v>7</v>
      </c>
      <c r="F32" s="3">
        <v>0.79872139999997604</v>
      </c>
      <c r="H32">
        <f t="shared" si="0"/>
        <v>1</v>
      </c>
      <c r="I32" t="str">
        <f t="shared" si="1"/>
        <v>correct</v>
      </c>
    </row>
    <row r="33" spans="1:10" x14ac:dyDescent="0.3">
      <c r="A33" s="3" t="s">
        <v>11</v>
      </c>
      <c r="B33" s="3" t="s">
        <v>8</v>
      </c>
      <c r="C33" s="3" t="s">
        <v>6</v>
      </c>
      <c r="D33" s="3" t="s">
        <v>10</v>
      </c>
      <c r="E33" s="3" t="s">
        <v>10</v>
      </c>
      <c r="F33" s="3">
        <v>0.92220240000006004</v>
      </c>
      <c r="H33">
        <f t="shared" si="0"/>
        <v>1</v>
      </c>
      <c r="I33" t="str">
        <f t="shared" si="1"/>
        <v>correct</v>
      </c>
    </row>
    <row r="34" spans="1:10" x14ac:dyDescent="0.3">
      <c r="A34" s="3" t="s">
        <v>11</v>
      </c>
      <c r="B34" s="3" t="s">
        <v>5</v>
      </c>
      <c r="C34" s="3" t="s">
        <v>9</v>
      </c>
      <c r="D34" s="3" t="s">
        <v>7</v>
      </c>
      <c r="E34" s="3" t="s">
        <v>7</v>
      </c>
      <c r="F34" s="3">
        <v>0.441493799999989</v>
      </c>
      <c r="H34">
        <f t="shared" si="0"/>
        <v>1</v>
      </c>
      <c r="I34" t="str">
        <f t="shared" si="1"/>
        <v>correct</v>
      </c>
    </row>
    <row r="35" spans="1:10" x14ac:dyDescent="0.3">
      <c r="A35" s="3" t="s">
        <v>4</v>
      </c>
      <c r="B35" s="3" t="s">
        <v>8</v>
      </c>
      <c r="C35" s="3" t="s">
        <v>9</v>
      </c>
      <c r="D35" s="3" t="s">
        <v>10</v>
      </c>
      <c r="E35" s="3" t="s">
        <v>10</v>
      </c>
      <c r="F35" s="3">
        <v>0.49787119999996299</v>
      </c>
      <c r="H35">
        <f t="shared" si="0"/>
        <v>1</v>
      </c>
      <c r="I35" t="str">
        <f t="shared" si="1"/>
        <v>correct</v>
      </c>
    </row>
    <row r="36" spans="1:10" x14ac:dyDescent="0.3">
      <c r="A36" s="3" t="s">
        <v>4</v>
      </c>
      <c r="B36" s="3" t="s">
        <v>5</v>
      </c>
      <c r="C36" s="3" t="s">
        <v>6</v>
      </c>
      <c r="D36" s="3" t="s">
        <v>7</v>
      </c>
      <c r="E36" s="3" t="s">
        <v>7</v>
      </c>
      <c r="F36" s="3">
        <v>0.41670599999997598</v>
      </c>
      <c r="H36">
        <f t="shared" si="0"/>
        <v>1</v>
      </c>
      <c r="I36" t="str">
        <f t="shared" si="1"/>
        <v>correct</v>
      </c>
    </row>
    <row r="37" spans="1:10" x14ac:dyDescent="0.3">
      <c r="A37" s="3" t="s">
        <v>11</v>
      </c>
      <c r="B37" s="3" t="s">
        <v>8</v>
      </c>
      <c r="C37" s="3" t="s">
        <v>6</v>
      </c>
      <c r="D37" s="3" t="s">
        <v>10</v>
      </c>
      <c r="E37" s="3" t="s">
        <v>10</v>
      </c>
      <c r="F37" s="3">
        <v>0.56224889999998595</v>
      </c>
      <c r="H37">
        <f t="shared" si="0"/>
        <v>1</v>
      </c>
      <c r="I37" t="str">
        <f t="shared" si="1"/>
        <v>correct</v>
      </c>
    </row>
    <row r="38" spans="1:10" x14ac:dyDescent="0.3">
      <c r="A38" s="3" t="s">
        <v>11</v>
      </c>
      <c r="B38" s="3" t="s">
        <v>8</v>
      </c>
      <c r="C38" s="3" t="s">
        <v>6</v>
      </c>
      <c r="D38" s="3" t="s">
        <v>10</v>
      </c>
      <c r="E38" s="3" t="s">
        <v>10</v>
      </c>
      <c r="F38" s="3">
        <v>0.33731420000003698</v>
      </c>
      <c r="H38">
        <f t="shared" si="0"/>
        <v>1</v>
      </c>
      <c r="I38" t="str">
        <f t="shared" si="1"/>
        <v>correct</v>
      </c>
    </row>
    <row r="39" spans="1:10" x14ac:dyDescent="0.3">
      <c r="A39" s="3" t="s">
        <v>4</v>
      </c>
      <c r="B39" s="3" t="s">
        <v>8</v>
      </c>
      <c r="C39" s="3" t="s">
        <v>9</v>
      </c>
      <c r="D39" s="3" t="s">
        <v>10</v>
      </c>
      <c r="E39" s="3" t="s">
        <v>10</v>
      </c>
      <c r="F39" s="3">
        <v>0.29934539999999199</v>
      </c>
      <c r="H39">
        <f t="shared" si="0"/>
        <v>1</v>
      </c>
      <c r="I39" t="str">
        <f t="shared" si="1"/>
        <v>correct</v>
      </c>
    </row>
    <row r="40" spans="1:10" x14ac:dyDescent="0.3">
      <c r="A40" s="3" t="s">
        <v>11</v>
      </c>
      <c r="B40" s="3" t="s">
        <v>5</v>
      </c>
      <c r="C40" s="3" t="s">
        <v>9</v>
      </c>
      <c r="D40" s="3" t="s">
        <v>7</v>
      </c>
      <c r="E40" s="3" t="s">
        <v>7</v>
      </c>
      <c r="F40" s="3">
        <v>0.28468319999979003</v>
      </c>
      <c r="H40">
        <f t="shared" si="0"/>
        <v>1</v>
      </c>
      <c r="I40" t="str">
        <f t="shared" si="1"/>
        <v>correct</v>
      </c>
    </row>
    <row r="41" spans="1:10" x14ac:dyDescent="0.3">
      <c r="A41" s="3" t="s">
        <v>4</v>
      </c>
      <c r="B41" s="3" t="s">
        <v>5</v>
      </c>
      <c r="C41" s="3" t="s">
        <v>6</v>
      </c>
      <c r="D41" s="3" t="s">
        <v>7</v>
      </c>
      <c r="E41" s="3" t="s">
        <v>7</v>
      </c>
      <c r="F41" s="3">
        <v>0.27051009999990999</v>
      </c>
      <c r="H41">
        <f t="shared" si="0"/>
        <v>1</v>
      </c>
      <c r="I41" t="str">
        <f t="shared" si="1"/>
        <v>correct</v>
      </c>
    </row>
    <row r="42" spans="1:10" x14ac:dyDescent="0.3">
      <c r="E42" t="s">
        <v>23</v>
      </c>
      <c r="F42">
        <f>AVERAGE(F2:F41)</f>
        <v>0.57236317999999053</v>
      </c>
      <c r="G42" t="s">
        <v>16</v>
      </c>
      <c r="H42">
        <f>SUM(H2:H41)</f>
        <v>36</v>
      </c>
      <c r="I42" t="s">
        <v>17</v>
      </c>
      <c r="J42">
        <f>40-H42</f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 and I cond.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2026-09-10T06:53:16Z</dcterms:created>
  <dcterms:modified xsi:type="dcterms:W3CDTF">2026-09-10T17:40:48Z</dcterms:modified>
</cp:coreProperties>
</file>